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設與參數" sheetId="1" state="visible" r:id="rId3"/>
    <sheet name="A.續用Genesys" sheetId="2" state="visible" r:id="rId4"/>
    <sheet name="B.自建" sheetId="3" state="visible" r:id="rId5"/>
    <sheet name="C.VOXEN+3CX" sheetId="4" state="visible" r:id="rId6"/>
    <sheet name="對照總表" sheetId="5" state="visible" r:id="rId7"/>
    <sheet name="敏感性分析" sheetId="6" state="visible" r:id="rId8"/>
  </sheets>
  <definedNames>
    <definedName function="false" hidden="false" name="BUILD_3RD" vbProcedure="false">假設與參數!$B$34</definedName>
    <definedName function="false" hidden="false" name="BUILD_HW_SBC" vbProcedure="false">假設與參數!$B$32</definedName>
    <definedName function="false" hidden="false" name="BUILD_HW_SRV" vbProcedure="false">假設與參數!$B$33</definedName>
    <definedName function="false" hidden="false" name="BUILD_OPS" vbProcedure="false">假設與參數!$B$35</definedName>
    <definedName function="false" hidden="false" name="BUILD_PM_GEN" vbProcedure="false">假設與參數!$B$31</definedName>
    <definedName function="false" hidden="false" name="BUILD_PM_SIP" vbProcedure="false">假設與參數!$B$30</definedName>
    <definedName function="false" hidden="false" name="BUILD_RATE_GEN" vbProcedure="false">假設與參數!$B$29</definedName>
    <definedName function="false" hidden="false" name="BUILD_RATE_SIP" vbProcedure="false">假設與參數!$B$28</definedName>
    <definedName function="false" hidden="false" name="DISCOUNT" vbProcedure="false">假設與參數!$B$13</definedName>
    <definedName function="false" hidden="false" name="FX" vbProcedure="false">假設與參數!$B$12</definedName>
    <definedName function="false" hidden="false" name="GEN_CLOUD_PA" vbProcedure="false">假設與參數!$B$22</definedName>
    <definedName function="false" hidden="false" name="GEN_EXT" vbProcedure="false">假設與參數!$B$21</definedName>
    <definedName function="false" hidden="false" name="GEN_INTERNAL_PM" vbProcedure="false">假設與參數!$B$25</definedName>
    <definedName function="false" hidden="false" name="GEN_MIGRATE" vbProcedure="false">假設與參數!$B$23</definedName>
    <definedName function="false" hidden="false" name="GEN_PS" vbProcedure="false">假設與參數!$B$24</definedName>
    <definedName function="false" hidden="false" name="INFL_LABOR" vbProcedure="false">假設與參數!$B$14</definedName>
    <definedName function="false" hidden="false" name="INFL_LICENSE" vbProcedure="false">假設與參數!$B$15</definedName>
    <definedName function="false" hidden="false" name="RISK_BUILD" vbProcedure="false">假設與參數!$B$16</definedName>
    <definedName function="false" hidden="false" name="RISK_GENESYS" vbProcedure="false">假設與參數!$B$17</definedName>
    <definedName function="false" hidden="false" name="SEATS" vbProcedure="false">假設與參數!$B$9</definedName>
    <definedName function="false" hidden="false" name="VX_BUILD" vbProcedure="false">假設與參數!$B$42</definedName>
    <definedName function="false" hidden="false" name="VX_ESCROW" vbProcedure="false">假設與參數!$B$41</definedName>
    <definedName function="false" hidden="false" name="VX_HW_SBC" vbProcedure="false">假設與參數!$B$44</definedName>
    <definedName function="false" hidden="false" name="VX_INTEG" vbProcedure="false">假設與參數!$B$45</definedName>
    <definedName function="false" hidden="false" name="VX_MAINT" vbProcedure="false">假設與參數!$B$43</definedName>
    <definedName function="false" hidden="false" name="VX_PERSEAT" vbProcedure="false">假設與參數!$B$38</definedName>
    <definedName function="false" hidden="false" name="VX_PERYEAR" vbProcedure="false">假設與參數!$B$39</definedName>
    <definedName function="false" hidden="false" name="VX_PREM" vbProcedure="false">假設與參數!$B$40</definedName>
    <definedName function="false" hidden="false" name="_YR3" vbProcedure="false">假設與參數!$B$10</definedName>
    <definedName function="false" hidden="false" name="_YR5" vbProcedure="false">假設與參數!$B$11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<sst xmlns="http://schemas.openxmlformats.org/spreadsheetml/2006/main" count="212" uniqueCount="170">
  <si>
    <r>
      <rPr>
        <b val="true"/>
        <sz val="20"/>
        <color rgb="FF0E5066"/>
        <rFont val="Microsoft JhengHei"/>
        <family val="0"/>
        <charset val="1"/>
      </rPr>
      <t xml:space="preserve">VOXEN + 3CX </t>
    </r>
    <r>
      <rPr>
        <b val="true"/>
        <sz val="20"/>
        <color rgb="FF0E5066"/>
        <rFont val="DejaVu Sans"/>
        <family val="2"/>
      </rPr>
      <t xml:space="preserve">玉山 </t>
    </r>
    <r>
      <rPr>
        <b val="true"/>
        <sz val="20"/>
        <color rgb="FF0E5066"/>
        <rFont val="Microsoft JhengHei"/>
        <family val="0"/>
        <charset val="1"/>
      </rPr>
      <t xml:space="preserve">Outreach </t>
    </r>
    <r>
      <rPr>
        <b val="true"/>
        <sz val="20"/>
        <color rgb="FF0E5066"/>
        <rFont val="DejaVu Sans"/>
        <family val="2"/>
      </rPr>
      <t xml:space="preserve">案</t>
    </r>
  </si>
  <si>
    <r>
      <rPr>
        <i val="true"/>
        <sz val="12"/>
        <color rgb="FF2C9889"/>
        <rFont val="Microsoft JhengHei"/>
        <family val="0"/>
        <charset val="1"/>
      </rPr>
      <t xml:space="preserve">3 </t>
    </r>
    <r>
      <rPr>
        <i val="true"/>
        <sz val="12"/>
        <color rgb="FF2C9889"/>
        <rFont val="DejaVu Sans"/>
        <family val="2"/>
      </rPr>
      <t xml:space="preserve">年 </t>
    </r>
    <r>
      <rPr>
        <i val="true"/>
        <sz val="12"/>
        <color rgb="FF2C9889"/>
        <rFont val="Microsoft JhengHei"/>
        <family val="0"/>
        <charset val="1"/>
      </rPr>
      <t xml:space="preserve">/ 5 </t>
    </r>
    <r>
      <rPr>
        <i val="true"/>
        <sz val="12"/>
        <color rgb="FF2C9889"/>
        <rFont val="DejaVu Sans"/>
        <family val="2"/>
      </rPr>
      <t xml:space="preserve">年 </t>
    </r>
    <r>
      <rPr>
        <i val="true"/>
        <sz val="12"/>
        <color rgb="FF2C9889"/>
        <rFont val="Microsoft JhengHei"/>
        <family val="0"/>
        <charset val="1"/>
      </rPr>
      <t xml:space="preserve">TCO </t>
    </r>
    <r>
      <rPr>
        <i val="true"/>
        <sz val="12"/>
        <color rgb="FF2C9889"/>
        <rFont val="DejaVu Sans"/>
        <family val="2"/>
      </rPr>
      <t xml:space="preserve">對照試算表  </t>
    </r>
    <r>
      <rPr>
        <i val="true"/>
        <sz val="12"/>
        <color rgb="FF2C9889"/>
        <rFont val="Microsoft JhengHei"/>
        <family val="0"/>
        <charset val="1"/>
      </rPr>
      <t xml:space="preserve">·  v1.0  ·  2026-04-25</t>
    </r>
  </si>
  <si>
    <r>
      <rPr>
        <b val="true"/>
        <sz val="11"/>
        <color rgb="FFC0392B"/>
        <rFont val="DejaVu Sans"/>
        <family val="2"/>
      </rPr>
      <t xml:space="preserve">⚠ 內部使用 </t>
    </r>
    <r>
      <rPr>
        <b val="true"/>
        <sz val="11"/>
        <color rgb="FFC0392B"/>
        <rFont val="Microsoft JhengHei"/>
        <family val="0"/>
        <charset val="1"/>
      </rPr>
      <t xml:space="preserve">· </t>
    </r>
    <r>
      <rPr>
        <b val="true"/>
        <sz val="11"/>
        <color rgb="FFC0392B"/>
        <rFont val="DejaVu Sans"/>
        <family val="2"/>
      </rPr>
      <t xml:space="preserve">試算數字僅供討論 </t>
    </r>
    <r>
      <rPr>
        <b val="true"/>
        <sz val="11"/>
        <color rgb="FFC0392B"/>
        <rFont val="Microsoft JhengHei"/>
        <family val="0"/>
        <charset val="1"/>
      </rPr>
      <t xml:space="preserve">· </t>
    </r>
    <r>
      <rPr>
        <b val="true"/>
        <sz val="11"/>
        <color rgb="FFC0392B"/>
        <rFont val="DejaVu Sans"/>
        <family val="2"/>
      </rPr>
      <t xml:space="preserve">正式報價以 </t>
    </r>
    <r>
      <rPr>
        <b val="true"/>
        <sz val="11"/>
        <color rgb="FFC0392B"/>
        <rFont val="Microsoft JhengHei"/>
        <family val="0"/>
        <charset val="1"/>
      </rPr>
      <t xml:space="preserve">NDA </t>
    </r>
    <r>
      <rPr>
        <b val="true"/>
        <sz val="11"/>
        <color rgb="FFC0392B"/>
        <rFont val="DejaVu Sans"/>
        <family val="2"/>
      </rPr>
      <t xml:space="preserve">後為準</t>
    </r>
  </si>
  <si>
    <r>
      <rPr>
        <sz val="9"/>
        <color rgb="FF666666"/>
        <rFont val="DejaVu Sans"/>
        <family val="2"/>
      </rPr>
      <t xml:space="preserve">■ 藍字 </t>
    </r>
    <r>
      <rPr>
        <sz val="9"/>
        <color rgb="FF666666"/>
        <rFont val="Microsoft JhengHei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可調整輸入        ■ 黑字 </t>
    </r>
    <r>
      <rPr>
        <sz val="9"/>
        <color rgb="FF666666"/>
        <rFont val="Microsoft JhengHei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公式計算        ■ 綠字 </t>
    </r>
    <r>
      <rPr>
        <sz val="9"/>
        <color rgb="FF666666"/>
        <rFont val="Microsoft JhengHei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跨工作表連結        黃底 </t>
    </r>
    <r>
      <rPr>
        <sz val="9"/>
        <color rgb="FF666666"/>
        <rFont val="Microsoft JhengHei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關鍵假設</t>
    </r>
  </si>
  <si>
    <t xml:space="preserve">全域假設</t>
  </si>
  <si>
    <t xml:space="preserve">座席數</t>
  </si>
  <si>
    <t xml:space="preserve">席</t>
  </si>
  <si>
    <t xml:space="preserve">行外撥座席總數</t>
  </si>
  <si>
    <r>
      <rPr>
        <b val="true"/>
        <sz val="10"/>
        <color rgb="FF0E5066"/>
        <rFont val="DejaVu Sans"/>
        <family val="2"/>
      </rPr>
      <t xml:space="preserve">評估年限 </t>
    </r>
    <r>
      <rPr>
        <b val="true"/>
        <sz val="10"/>
        <color rgb="FF0E5066"/>
        <rFont val="Microsoft JhengHei"/>
        <family val="0"/>
        <charset val="1"/>
      </rPr>
      <t xml:space="preserve">(3 </t>
    </r>
    <r>
      <rPr>
        <b val="true"/>
        <sz val="10"/>
        <color rgb="FF0E5066"/>
        <rFont val="DejaVu Sans"/>
        <family val="2"/>
      </rPr>
      <t xml:space="preserve">年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</si>
  <si>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t xml:space="preserve">年</t>
  </si>
  <si>
    <r>
      <rPr>
        <i val="true"/>
        <sz val="9"/>
        <color rgb="FF666666"/>
        <rFont val="Microsoft JhengHei"/>
        <family val="0"/>
        <charset val="1"/>
      </rPr>
      <t xml:space="preserve">Y1-Y3 </t>
    </r>
    <r>
      <rPr>
        <i val="true"/>
        <sz val="9"/>
        <color rgb="FF666666"/>
        <rFont val="DejaVu Sans"/>
        <family val="2"/>
      </rPr>
      <t xml:space="preserve">短期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視角</t>
    </r>
  </si>
  <si>
    <r>
      <rPr>
        <b val="true"/>
        <sz val="10"/>
        <color rgb="FF0E5066"/>
        <rFont val="DejaVu Sans"/>
        <family val="2"/>
      </rPr>
      <t xml:space="preserve">評估年限 </t>
    </r>
    <r>
      <rPr>
        <b val="true"/>
        <sz val="10"/>
        <color rgb="FF0E5066"/>
        <rFont val="Microsoft JhengHei"/>
        <family val="0"/>
        <charset val="1"/>
      </rPr>
      <t xml:space="preserve">(5 </t>
    </r>
    <r>
      <rPr>
        <b val="true"/>
        <sz val="10"/>
        <color rgb="FF0E5066"/>
        <rFont val="DejaVu Sans"/>
        <family val="2"/>
      </rPr>
      <t xml:space="preserve">年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</si>
  <si>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Microsoft JhengHei"/>
        <family val="0"/>
        <charset val="1"/>
      </rPr>
      <t xml:space="preserve">Y1-Y5 </t>
    </r>
    <r>
      <rPr>
        <i val="true"/>
        <sz val="9"/>
        <color rgb="FF666666"/>
        <rFont val="DejaVu Sans"/>
        <family val="2"/>
      </rPr>
      <t xml:space="preserve">長期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視角</t>
    </r>
    <r>
      <rPr>
        <i val="true"/>
        <sz val="9"/>
        <color rgb="FF666666"/>
        <rFont val="Microsoft JhengHei"/>
        <family val="0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含合約 </t>
    </r>
    <r>
      <rPr>
        <i val="true"/>
        <sz val="9"/>
        <color rgb="FF666666"/>
        <rFont val="Microsoft JhengHei"/>
        <family val="0"/>
        <charset val="1"/>
      </rPr>
      <t xml:space="preserve">evergreen)</t>
    </r>
  </si>
  <si>
    <r>
      <rPr>
        <b val="true"/>
        <sz val="10"/>
        <color rgb="FF0E5066"/>
        <rFont val="Microsoft JhengHei"/>
        <family val="0"/>
        <charset val="1"/>
      </rPr>
      <t xml:space="preserve">NTD/USD </t>
    </r>
    <r>
      <rPr>
        <b val="true"/>
        <sz val="10"/>
        <color rgb="FF0E5066"/>
        <rFont val="DejaVu Sans"/>
        <family val="2"/>
      </rPr>
      <t xml:space="preserve">匯率</t>
    </r>
  </si>
  <si>
    <t xml:space="preserve">依簽約日當週中央銀行匯率</t>
  </si>
  <si>
    <r>
      <rPr>
        <b val="true"/>
        <sz val="10"/>
        <color rgb="FF0E5066"/>
        <rFont val="DejaVu Sans"/>
        <family val="2"/>
      </rPr>
      <t xml:space="preserve">折現率 </t>
    </r>
    <r>
      <rPr>
        <b val="true"/>
        <sz val="10"/>
        <color rgb="FF0E5066"/>
        <rFont val="Microsoft JhengHei"/>
        <family val="0"/>
        <charset val="1"/>
      </rPr>
      <t xml:space="preserve">(NPV </t>
    </r>
    <r>
      <rPr>
        <b val="true"/>
        <sz val="10"/>
        <color rgb="FF0E5066"/>
        <rFont val="DejaVu Sans"/>
        <family val="2"/>
      </rPr>
      <t xml:space="preserve">用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</si>
  <si>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t xml:space="preserve">玉山內部資金成本參考</t>
  </si>
  <si>
    <r>
      <rPr>
        <b val="true"/>
        <sz val="10"/>
        <color rgb="FF0E5066"/>
        <rFont val="DejaVu Sans"/>
        <family val="2"/>
      </rPr>
      <t xml:space="preserve">年通膨率 </t>
    </r>
    <r>
      <rPr>
        <b val="true"/>
        <sz val="10"/>
        <color rgb="FF0E5066"/>
        <rFont val="Microsoft JhengHei"/>
        <family val="0"/>
        <charset val="1"/>
      </rPr>
      <t xml:space="preserve">(</t>
    </r>
    <r>
      <rPr>
        <b val="true"/>
        <sz val="10"/>
        <color rgb="FF0E5066"/>
        <rFont val="DejaVu Sans"/>
        <family val="2"/>
      </rPr>
      <t xml:space="preserve">人力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</si>
  <si>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t xml:space="preserve">人力相關項目年增</t>
  </si>
  <si>
    <r>
      <rPr>
        <b val="true"/>
        <sz val="10"/>
        <color rgb="FF0E5066"/>
        <rFont val="DejaVu Sans"/>
        <family val="2"/>
      </rPr>
      <t xml:space="preserve">年通膨率 </t>
    </r>
    <r>
      <rPr>
        <b val="true"/>
        <sz val="10"/>
        <color rgb="FF0E5066"/>
        <rFont val="Microsoft JhengHei"/>
        <family val="0"/>
        <charset val="1"/>
      </rPr>
      <t xml:space="preserve">(License)</t>
    </r>
  </si>
  <si>
    <r>
      <rPr>
        <i val="true"/>
        <sz val="9"/>
        <color rgb="FF666666"/>
        <rFont val="DejaVu Sans"/>
        <family val="2"/>
      </rPr>
      <t xml:space="preserve">原廠 </t>
    </r>
    <r>
      <rPr>
        <i val="true"/>
        <sz val="9"/>
        <color rgb="FF666666"/>
        <rFont val="Microsoft JhengHei"/>
        <family val="0"/>
        <charset val="1"/>
      </rPr>
      <t xml:space="preserve">List Price </t>
    </r>
    <r>
      <rPr>
        <i val="true"/>
        <sz val="9"/>
        <color rgb="FF666666"/>
        <rFont val="DejaVu Sans"/>
        <family val="2"/>
      </rPr>
      <t xml:space="preserve">年增</t>
    </r>
  </si>
  <si>
    <r>
      <rPr>
        <b val="true"/>
        <sz val="10"/>
        <color rgb="FF0E5066"/>
        <rFont val="DejaVu Sans"/>
        <family val="2"/>
      </rPr>
      <t xml:space="preserve">時程風險加成 </t>
    </r>
    <r>
      <rPr>
        <b val="true"/>
        <sz val="10"/>
        <color rgb="FF0E5066"/>
        <rFont val="Microsoft JhengHei"/>
        <family val="0"/>
        <charset val="1"/>
      </rPr>
      <t xml:space="preserve">(</t>
    </r>
    <r>
      <rPr>
        <b val="true"/>
        <sz val="10"/>
        <color rgb="FF0E5066"/>
        <rFont val="DejaVu Sans"/>
        <family val="2"/>
      </rPr>
      <t xml:space="preserve">自建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</si>
  <si>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自建路徑時程超期 </t>
    </r>
    <r>
      <rPr>
        <i val="true"/>
        <sz val="9"/>
        <color rgb="FF666666"/>
        <rFont val="Microsoft JhengHei"/>
        <family val="0"/>
        <charset val="1"/>
      </rPr>
      <t xml:space="preserve">buffer 20%</t>
    </r>
  </si>
  <si>
    <r>
      <rPr>
        <b val="true"/>
        <sz val="10"/>
        <color rgb="FF0E5066"/>
        <rFont val="DejaVu Sans"/>
        <family val="2"/>
      </rPr>
      <t xml:space="preserve">時程風險加成 </t>
    </r>
    <r>
      <rPr>
        <b val="true"/>
        <sz val="10"/>
        <color rgb="FF0E5066"/>
        <rFont val="Microsoft JhengHei"/>
        <family val="0"/>
        <charset val="1"/>
      </rPr>
      <t xml:space="preserve">(Genesys </t>
    </r>
    <r>
      <rPr>
        <b val="true"/>
        <sz val="10"/>
        <color rgb="FF0E5066"/>
        <rFont val="DejaVu Sans"/>
        <family val="2"/>
      </rPr>
      <t xml:space="preserve">續用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</si>
  <si>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Microsoft JhengHei"/>
        <family val="0"/>
        <charset val="1"/>
      </rPr>
      <t xml:space="preserve">EOL </t>
    </r>
    <r>
      <rPr>
        <i val="true"/>
        <sz val="9"/>
        <color rgb="FF666666"/>
        <rFont val="DejaVu Sans"/>
        <family val="2"/>
      </rPr>
      <t xml:space="preserve">後 </t>
    </r>
    <r>
      <rPr>
        <i val="true"/>
        <sz val="9"/>
        <color rgb="FF666666"/>
        <rFont val="Microsoft JhengHei"/>
        <family val="0"/>
        <charset val="1"/>
      </rPr>
      <t xml:space="preserve">Extended Support </t>
    </r>
    <r>
      <rPr>
        <i val="true"/>
        <sz val="9"/>
        <color rgb="FF666666"/>
        <rFont val="DejaVu Sans"/>
        <family val="2"/>
      </rPr>
      <t xml:space="preserve">跳價 </t>
    </r>
    <r>
      <rPr>
        <i val="true"/>
        <sz val="9"/>
        <color rgb="FF666666"/>
        <rFont val="Microsoft JhengHei"/>
        <family val="0"/>
        <charset val="1"/>
      </rPr>
      <t xml:space="preserve">30%</t>
    </r>
  </si>
  <si>
    <r>
      <rPr>
        <b val="true"/>
        <sz val="14"/>
        <color rgb="FF0E5066"/>
        <rFont val="DejaVu Sans"/>
        <family val="2"/>
      </rPr>
      <t xml:space="preserve">方案 </t>
    </r>
    <r>
      <rPr>
        <b val="true"/>
        <sz val="14"/>
        <color rgb="FF0E5066"/>
        <rFont val="Microsoft JhengHei"/>
        <family val="0"/>
        <charset val="1"/>
      </rPr>
      <t xml:space="preserve">A: </t>
    </r>
    <r>
      <rPr>
        <b val="true"/>
        <sz val="14"/>
        <color rgb="FF0E5066"/>
        <rFont val="DejaVu Sans"/>
        <family val="2"/>
      </rPr>
      <t xml:space="preserve">續用 </t>
    </r>
    <r>
      <rPr>
        <b val="true"/>
        <sz val="14"/>
        <color rgb="FF0E5066"/>
        <rFont val="Microsoft JhengHei"/>
        <family val="0"/>
        <charset val="1"/>
      </rPr>
      <t xml:space="preserve">Genesys (Extended Support / Cloud </t>
    </r>
    <r>
      <rPr>
        <b val="true"/>
        <sz val="14"/>
        <color rgb="FF0E5066"/>
        <rFont val="DejaVu Sans"/>
        <family val="2"/>
      </rPr>
      <t xml:space="preserve">升級</t>
    </r>
    <r>
      <rPr>
        <b val="true"/>
        <sz val="14"/>
        <color rgb="FF0E5066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</si>
  <si>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Genesys Engage 11 Extended Support </t>
    </r>
    <r>
      <rPr>
        <sz val="10"/>
        <color rgb="FF000000"/>
        <rFont val="DejaVu Sans"/>
        <family val="2"/>
      </rPr>
      <t xml:space="preserve">年費 </t>
    </r>
    <r>
      <rPr>
        <sz val="10"/>
        <color rgb="FF000000"/>
        <rFont val="Microsoft JhengHei"/>
        <family val="0"/>
        <charset val="1"/>
      </rPr>
      <t xml:space="preserve">(USD)</t>
    </r>
  </si>
  <si>
    <r>
      <rPr>
        <sz val="10"/>
        <color rgb="FF666666"/>
        <rFont val="Microsoft JhengHei"/>
        <family val="0"/>
        <charset val="1"/>
      </rPr>
      <t xml:space="preserve">USD/</t>
    </r>
    <r>
      <rPr>
        <sz val="10"/>
        <color rgb="FF666666"/>
        <rFont val="DejaVu Sans"/>
        <family val="2"/>
      </rPr>
      <t xml:space="preserve">年</t>
    </r>
  </si>
  <si>
    <r>
      <rPr>
        <i val="true"/>
        <sz val="9"/>
        <color rgb="FF666666"/>
        <rFont val="Microsoft JhengHei"/>
        <family val="0"/>
        <charset val="1"/>
      </rPr>
      <t xml:space="preserve">EOL </t>
    </r>
    <r>
      <rPr>
        <i val="true"/>
        <sz val="9"/>
        <color rgb="FF666666"/>
        <rFont val="DejaVu Sans"/>
        <family val="2"/>
      </rPr>
      <t xml:space="preserve">後維護費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跳價 </t>
    </r>
    <r>
      <rPr>
        <i val="true"/>
        <sz val="9"/>
        <color rgb="FF666666"/>
        <rFont val="Microsoft JhengHei"/>
        <family val="0"/>
        <charset val="1"/>
      </rPr>
      <t xml:space="preserve">30% </t>
    </r>
    <r>
      <rPr>
        <i val="true"/>
        <sz val="9"/>
        <color rgb="FF666666"/>
        <rFont val="DejaVu Sans"/>
        <family val="2"/>
      </rPr>
      <t xml:space="preserve">以上</t>
    </r>
  </si>
  <si>
    <r>
      <rPr>
        <sz val="10"/>
        <color rgb="FF000000"/>
        <rFont val="Microsoft JhengHei"/>
        <family val="0"/>
        <charset val="1"/>
      </rPr>
      <t xml:space="preserve">Genesys Cloud per-Agent </t>
    </r>
    <r>
      <rPr>
        <sz val="10"/>
        <color rgb="FF000000"/>
        <rFont val="DejaVu Sans"/>
        <family val="2"/>
      </rPr>
      <t xml:space="preserve">月費 </t>
    </r>
    <r>
      <rPr>
        <sz val="10"/>
        <color rgb="FF000000"/>
        <rFont val="Microsoft JhengHei"/>
        <family val="0"/>
        <charset val="1"/>
      </rPr>
      <t xml:space="preserve">(USD)</t>
    </r>
  </si>
  <si>
    <r>
      <rPr>
        <sz val="10"/>
        <color rgb="FF666666"/>
        <rFont val="Microsoft JhengHei"/>
        <family val="0"/>
        <charset val="1"/>
      </rPr>
      <t xml:space="preserve">USD/</t>
    </r>
    <r>
      <rPr>
        <sz val="10"/>
        <color rgb="FF666666"/>
        <rFont val="DejaVu Sans"/>
        <family val="2"/>
      </rPr>
      <t xml:space="preserve">座席</t>
    </r>
    <r>
      <rPr>
        <sz val="10"/>
        <color rgb="FF666666"/>
        <rFont val="Microsoft JhengHei"/>
        <family val="0"/>
        <charset val="1"/>
      </rPr>
      <t xml:space="preserve">/</t>
    </r>
    <r>
      <rPr>
        <sz val="10"/>
        <color rgb="FF666666"/>
        <rFont val="DejaVu Sans"/>
        <family val="2"/>
      </rPr>
      <t xml:space="preserve">月</t>
    </r>
  </si>
  <si>
    <r>
      <rPr>
        <i val="true"/>
        <sz val="9"/>
        <color rgb="FF666666"/>
        <rFont val="DejaVu Sans"/>
        <family val="2"/>
      </rPr>
      <t xml:space="preserve">另一條路</t>
    </r>
    <r>
      <rPr>
        <i val="true"/>
        <sz val="9"/>
        <color rgb="FF666666"/>
        <rFont val="Microsoft JhengHei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升 </t>
    </r>
    <r>
      <rPr>
        <i val="true"/>
        <sz val="9"/>
        <color rgb="FF666666"/>
        <rFont val="Microsoft JhengHei"/>
        <family val="0"/>
        <charset val="1"/>
      </rPr>
      <t xml:space="preserve">Cloud,Tier 3</t>
    </r>
  </si>
  <si>
    <r>
      <rPr>
        <sz val="10"/>
        <color rgb="FF000000"/>
        <rFont val="DejaVu Sans"/>
        <family val="2"/>
      </rPr>
      <t xml:space="preserve">遷移到 </t>
    </r>
    <r>
      <rPr>
        <sz val="10"/>
        <color rgb="FF000000"/>
        <rFont val="Microsoft JhengHei"/>
        <family val="0"/>
        <charset val="1"/>
      </rPr>
      <t xml:space="preserve">Cloud </t>
    </r>
    <r>
      <rPr>
        <sz val="10"/>
        <color rgb="FF000000"/>
        <rFont val="DejaVu Sans"/>
        <family val="2"/>
      </rPr>
      <t xml:space="preserve">一次性費用 </t>
    </r>
    <r>
      <rPr>
        <sz val="10"/>
        <color rgb="FF000000"/>
        <rFont val="Microsoft JhengHei"/>
        <family val="0"/>
        <charset val="1"/>
      </rPr>
      <t xml:space="preserve">(USD)</t>
    </r>
  </si>
  <si>
    <t xml:space="preserve">USD</t>
  </si>
  <si>
    <r>
      <rPr>
        <i val="true"/>
        <sz val="9"/>
        <color rgb="FF666666"/>
        <rFont val="DejaVu Sans"/>
        <family val="2"/>
      </rPr>
      <t xml:space="preserve">資料遷移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重新部署</t>
    </r>
  </si>
  <si>
    <r>
      <rPr>
        <sz val="10"/>
        <color rgb="FF000000"/>
        <rFont val="DejaVu Sans"/>
        <family val="2"/>
      </rPr>
      <t xml:space="preserve">原廠 </t>
    </r>
    <r>
      <rPr>
        <sz val="10"/>
        <color rgb="FF000000"/>
        <rFont val="Microsoft JhengHei"/>
        <family val="0"/>
        <charset val="1"/>
      </rPr>
      <t xml:space="preserve">PS </t>
    </r>
    <r>
      <rPr>
        <sz val="10"/>
        <color rgb="FF000000"/>
        <rFont val="DejaVu Sans"/>
        <family val="2"/>
      </rPr>
      <t xml:space="preserve">顧問 </t>
    </r>
    <r>
      <rPr>
        <sz val="10"/>
        <color rgb="FF000000"/>
        <rFont val="Microsoft JhengHei"/>
        <family val="0"/>
        <charset val="1"/>
      </rPr>
      <t xml:space="preserve">(Y1)</t>
    </r>
  </si>
  <si>
    <r>
      <rPr>
        <i val="true"/>
        <sz val="9"/>
        <color rgb="FF666666"/>
        <rFont val="Microsoft JhengHei"/>
        <family val="0"/>
        <charset val="1"/>
      </rPr>
      <t xml:space="preserve">EOL </t>
    </r>
    <r>
      <rPr>
        <i val="true"/>
        <sz val="9"/>
        <color rgb="FF666666"/>
        <rFont val="DejaVu Sans"/>
        <family val="2"/>
      </rPr>
      <t xml:space="preserve">補救方案的人月</t>
    </r>
  </si>
  <si>
    <r>
      <rPr>
        <sz val="10"/>
        <color rgb="FF000000"/>
        <rFont val="DejaVu Sans"/>
        <family val="2"/>
      </rPr>
      <t xml:space="preserve">玉山 </t>
    </r>
    <r>
      <rPr>
        <sz val="10"/>
        <color rgb="FF000000"/>
        <rFont val="Microsoft JhengHei"/>
        <family val="0"/>
        <charset val="1"/>
      </rPr>
      <t xml:space="preserve">IT </t>
    </r>
    <r>
      <rPr>
        <sz val="10"/>
        <color rgb="FF000000"/>
        <rFont val="DejaVu Sans"/>
        <family val="2"/>
      </rPr>
      <t xml:space="preserve">內部投入 </t>
    </r>
    <r>
      <rPr>
        <sz val="10"/>
        <color rgb="FF000000"/>
        <rFont val="Microsoft JhengHei"/>
        <family val="0"/>
        <charset val="1"/>
      </rPr>
      <t xml:space="preserve">(Y1)</t>
    </r>
  </si>
  <si>
    <t xml:space="preserve">人月</t>
  </si>
  <si>
    <r>
      <rPr>
        <i val="true"/>
        <sz val="9"/>
        <color rgb="FF666666"/>
        <rFont val="Microsoft JhengHei"/>
        <family val="0"/>
        <charset val="1"/>
      </rPr>
      <t xml:space="preserve">15% Genesys </t>
    </r>
    <r>
      <rPr>
        <i val="true"/>
        <sz val="9"/>
        <color rgb="FF666666"/>
        <rFont val="DejaVu Sans"/>
        <family val="2"/>
      </rPr>
      <t xml:space="preserve">知識轉移成本</t>
    </r>
  </si>
  <si>
    <r>
      <rPr>
        <b val="true"/>
        <sz val="14"/>
        <color rgb="FF0E5066"/>
        <rFont val="DejaVu Sans"/>
        <family val="2"/>
      </rPr>
      <t xml:space="preserve">方案 </t>
    </r>
    <r>
      <rPr>
        <b val="true"/>
        <sz val="14"/>
        <color rgb="FF0E5066"/>
        <rFont val="Microsoft JhengHei"/>
        <family val="0"/>
        <charset val="1"/>
      </rPr>
      <t xml:space="preserve">B: </t>
    </r>
    <r>
      <rPr>
        <b val="true"/>
        <sz val="14"/>
        <color rgb="FF0E5066"/>
        <rFont val="DejaVu Sans"/>
        <family val="2"/>
      </rPr>
      <t xml:space="preserve">瑛聲自建 </t>
    </r>
    <r>
      <rPr>
        <b val="true"/>
        <sz val="14"/>
        <color rgb="FF0E5066"/>
        <rFont val="Microsoft JhengHei"/>
        <family val="0"/>
        <charset val="1"/>
      </rPr>
      <t xml:space="preserve">PBX </t>
    </r>
    <r>
      <rPr>
        <b val="true"/>
        <sz val="14"/>
        <color rgb="FF0E5066"/>
        <rFont val="DejaVu Sans"/>
        <family val="2"/>
      </rPr>
      <t xml:space="preserve">平台 </t>
    </r>
    <r>
      <rPr>
        <b val="true"/>
        <sz val="14"/>
        <color rgb="FF0E5066"/>
        <rFont val="Microsoft JhengHei"/>
        <family val="0"/>
        <charset val="1"/>
      </rPr>
      <t xml:space="preserve">(</t>
    </r>
    <r>
      <rPr>
        <b val="true"/>
        <sz val="14"/>
        <color rgb="FF0E5066"/>
        <rFont val="DejaVu Sans"/>
        <family val="2"/>
      </rPr>
      <t xml:space="preserve">替代方案</t>
    </r>
    <r>
      <rPr>
        <b val="true"/>
        <sz val="14"/>
        <color rgb="FF0E5066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</si>
  <si>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SIP/RTP/SBC </t>
    </r>
    <r>
      <rPr>
        <sz val="10"/>
        <color rgb="FF000000"/>
        <rFont val="DejaVu Sans"/>
        <family val="2"/>
      </rPr>
      <t xml:space="preserve">工程師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人月成本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</si>
  <si>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666666"/>
        <rFont val="Microsoft JhengHei"/>
        <family val="0"/>
        <charset val="1"/>
      </rPr>
      <t xml:space="preserve">NTD/</t>
    </r>
    <r>
      <rPr>
        <sz val="10"/>
        <color rgb="FF666666"/>
        <rFont val="DejaVu Sans"/>
        <family val="2"/>
      </rPr>
      <t xml:space="preserve">人月</t>
    </r>
  </si>
  <si>
    <r>
      <rPr>
        <i val="true"/>
        <sz val="9"/>
        <color rgb="FF666666"/>
        <rFont val="DejaVu Sans"/>
        <family val="2"/>
      </rPr>
      <t xml:space="preserve">稀缺人才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含 </t>
    </r>
    <r>
      <rPr>
        <i val="true"/>
        <sz val="9"/>
        <color rgb="FF666666"/>
        <rFont val="Microsoft JhengHei"/>
        <family val="0"/>
        <charset val="1"/>
      </rPr>
      <t xml:space="preserve">fully loaded</t>
    </r>
  </si>
  <si>
    <r>
      <rPr>
        <sz val="10"/>
        <color rgb="FF000000"/>
        <rFont val="Microsoft JhengHei"/>
        <family val="0"/>
        <charset val="1"/>
      </rPr>
      <t xml:space="preserve">PM / </t>
    </r>
    <r>
      <rPr>
        <sz val="10"/>
        <color rgb="FF000000"/>
        <rFont val="DejaVu Sans"/>
        <family val="2"/>
      </rPr>
      <t xml:space="preserve">後端 </t>
    </r>
    <r>
      <rPr>
        <sz val="10"/>
        <color rgb="FF000000"/>
        <rFont val="Microsoft JhengHei"/>
        <family val="0"/>
        <charset val="1"/>
      </rPr>
      <t xml:space="preserve">/ QA (</t>
    </r>
    <r>
      <rPr>
        <sz val="10"/>
        <color rgb="FF000000"/>
        <rFont val="DejaVu Sans"/>
        <family val="2"/>
      </rPr>
      <t xml:space="preserve">人月成本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</si>
  <si>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一般工程師 </t>
    </r>
    <r>
      <rPr>
        <i val="true"/>
        <sz val="9"/>
        <color rgb="FF666666"/>
        <rFont val="Microsoft JhengHei"/>
        <family val="0"/>
        <charset val="1"/>
      </rPr>
      <t xml:space="preserve">fully loaded</t>
    </r>
  </si>
  <si>
    <r>
      <rPr>
        <sz val="10"/>
        <color rgb="FF000000"/>
        <rFont val="DejaVu Sans"/>
        <family val="2"/>
      </rPr>
      <t xml:space="preserve">開發期人月需求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高階 </t>
    </r>
    <r>
      <rPr>
        <sz val="10"/>
        <color rgb="FF000000"/>
        <rFont val="Microsoft JhengHei"/>
        <family val="0"/>
        <charset val="1"/>
      </rPr>
      <t xml:space="preserve">SIP)</t>
    </r>
  </si>
  <si>
    <r>
      <rPr>
        <i val="true"/>
        <sz val="9"/>
        <color rgb="FF666666"/>
        <rFont val="Microsoft JhengHei"/>
        <family val="0"/>
        <charset val="1"/>
      </rPr>
      <t xml:space="preserve">18 </t>
    </r>
    <r>
      <rPr>
        <i val="true"/>
        <sz val="9"/>
        <color rgb="FF666666"/>
        <rFont val="DejaVu Sans"/>
        <family val="2"/>
      </rPr>
      <t xml:space="preserve">個月 </t>
    </r>
    <r>
      <rPr>
        <i val="true"/>
        <sz val="9"/>
        <color rgb="FF666666"/>
        <rFont val="Microsoft JhengHei"/>
        <family val="0"/>
        <charset val="1"/>
      </rPr>
      <t xml:space="preserve">× 1 senior FTE</t>
    </r>
  </si>
  <si>
    <r>
      <rPr>
        <sz val="10"/>
        <color rgb="FF000000"/>
        <rFont val="DejaVu Sans"/>
        <family val="2"/>
      </rPr>
      <t xml:space="preserve">開發期人月需求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一般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</si>
  <si>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Microsoft JhengHei"/>
        <family val="0"/>
        <charset val="1"/>
      </rPr>
      <t xml:space="preserve">18 </t>
    </r>
    <r>
      <rPr>
        <i val="true"/>
        <sz val="9"/>
        <color rgb="FF666666"/>
        <rFont val="DejaVu Sans"/>
        <family val="2"/>
      </rPr>
      <t xml:space="preserve">個月 </t>
    </r>
    <r>
      <rPr>
        <i val="true"/>
        <sz val="9"/>
        <color rgb="FF666666"/>
        <rFont val="Microsoft JhengHei"/>
        <family val="0"/>
        <charset val="1"/>
      </rPr>
      <t xml:space="preserve">× 3.3 FTE </t>
    </r>
    <r>
      <rPr>
        <i val="true"/>
        <sz val="9"/>
        <color rgb="FF666666"/>
        <rFont val="DejaVu Sans"/>
        <family val="2"/>
      </rPr>
      <t xml:space="preserve">平均</t>
    </r>
  </si>
  <si>
    <r>
      <rPr>
        <sz val="10"/>
        <color rgb="FF000000"/>
        <rFont val="Microsoft JhengHei"/>
        <family val="0"/>
        <charset val="1"/>
      </rPr>
      <t xml:space="preserve">SBC </t>
    </r>
    <r>
      <rPr>
        <sz val="10"/>
        <color rgb="FF000000"/>
        <rFont val="DejaVu Sans"/>
        <family val="2"/>
      </rPr>
      <t xml:space="preserve">硬體一次性 </t>
    </r>
    <r>
      <rPr>
        <sz val="10"/>
        <color rgb="FF000000"/>
        <rFont val="Microsoft JhengHei"/>
        <family val="0"/>
        <charset val="1"/>
      </rPr>
      <t xml:space="preserve">(NTD)</t>
    </r>
  </si>
  <si>
    <t xml:space="preserve">NTD</t>
  </si>
  <si>
    <t xml:space="preserve">AudioCodes Mediant HA Pair</t>
  </si>
  <si>
    <r>
      <rPr>
        <sz val="10"/>
        <color rgb="FF000000"/>
        <rFont val="Microsoft JhengHei"/>
        <family val="0"/>
        <charset val="1"/>
      </rPr>
      <t xml:space="preserve">Server </t>
    </r>
    <r>
      <rPr>
        <sz val="10"/>
        <color rgb="FF000000"/>
        <rFont val="DejaVu Sans"/>
        <family val="2"/>
      </rPr>
      <t xml:space="preserve">硬體一次性 </t>
    </r>
    <r>
      <rPr>
        <sz val="10"/>
        <color rgb="FF000000"/>
        <rFont val="Microsoft JhengHei"/>
        <family val="0"/>
        <charset val="1"/>
      </rPr>
      <t xml:space="preserve">(NTD)</t>
    </r>
  </si>
  <si>
    <r>
      <rPr>
        <i val="true"/>
        <sz val="9"/>
        <color rgb="FF666666"/>
        <rFont val="DejaVu Sans"/>
        <family val="2"/>
      </rPr>
      <t xml:space="preserve">雙節點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監控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測試環境</t>
    </r>
  </si>
  <si>
    <r>
      <rPr>
        <sz val="10"/>
        <color rgb="FF000000"/>
        <rFont val="DejaVu Sans"/>
        <family val="2"/>
      </rPr>
      <t xml:space="preserve">第三方 </t>
    </r>
    <r>
      <rPr>
        <sz val="10"/>
        <color rgb="FF000000"/>
        <rFont val="Microsoft JhengHei"/>
        <family val="0"/>
        <charset val="1"/>
      </rPr>
      <t xml:space="preserve">codec/SBC license </t>
    </r>
    <r>
      <rPr>
        <sz val="10"/>
        <color rgb="FF000000"/>
        <rFont val="DejaVu Sans"/>
        <family val="2"/>
      </rPr>
      <t xml:space="preserve">年費 </t>
    </r>
    <r>
      <rPr>
        <sz val="10"/>
        <color rgb="FF000000"/>
        <rFont val="Microsoft JhengHei"/>
        <family val="0"/>
        <charset val="1"/>
      </rPr>
      <t xml:space="preserve">(NTD)</t>
    </r>
  </si>
  <si>
    <r>
      <rPr>
        <sz val="10"/>
        <color rgb="FF666666"/>
        <rFont val="Microsoft JhengHei"/>
        <family val="0"/>
        <charset val="1"/>
      </rPr>
      <t xml:space="preserve">NTD/</t>
    </r>
    <r>
      <rPr>
        <sz val="10"/>
        <color rgb="FF666666"/>
        <rFont val="DejaVu Sans"/>
        <family val="2"/>
      </rPr>
      <t xml:space="preserve">年</t>
    </r>
  </si>
  <si>
    <t xml:space="preserve">G.729 / H.264 license</t>
  </si>
  <si>
    <r>
      <rPr>
        <sz val="10"/>
        <color rgb="FF000000"/>
        <rFont val="DejaVu Sans"/>
        <family val="2"/>
      </rPr>
      <t xml:space="preserve">上線後維運團隊年薪 </t>
    </r>
    <r>
      <rPr>
        <sz val="10"/>
        <color rgb="FF000000"/>
        <rFont val="Microsoft JhengHei"/>
        <family val="0"/>
        <charset val="1"/>
      </rPr>
      <t xml:space="preserve">(NTD)</t>
    </r>
  </si>
  <si>
    <r>
      <rPr>
        <i val="true"/>
        <sz val="9"/>
        <color rgb="FF666666"/>
        <rFont val="Microsoft JhengHei"/>
        <family val="0"/>
        <charset val="1"/>
      </rPr>
      <t xml:space="preserve">2 FTE × 200K × 14 </t>
    </r>
    <r>
      <rPr>
        <i val="true"/>
        <sz val="9"/>
        <color rgb="FF666666"/>
        <rFont val="DejaVu Sans"/>
        <family val="2"/>
      </rPr>
      <t xml:space="preserve">月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福利</t>
    </r>
  </si>
  <si>
    <r>
      <rPr>
        <b val="true"/>
        <sz val="14"/>
        <color rgb="FF0E5066"/>
        <rFont val="DejaVu Sans"/>
        <family val="2"/>
      </rPr>
      <t xml:space="preserve">方案 </t>
    </r>
    <r>
      <rPr>
        <b val="true"/>
        <sz val="14"/>
        <color rgb="FF0E5066"/>
        <rFont val="Microsoft JhengHei"/>
        <family val="0"/>
        <charset val="1"/>
      </rPr>
      <t xml:space="preserve">C: VOXEN + 3CX (</t>
    </r>
    <r>
      <rPr>
        <b val="true"/>
        <sz val="14"/>
        <color rgb="FF0E5066"/>
        <rFont val="DejaVu Sans"/>
        <family val="2"/>
      </rPr>
      <t xml:space="preserve">瑛聲推薦</t>
    </r>
    <r>
      <rPr>
        <b val="true"/>
        <sz val="14"/>
        <color rgb="FF0E5066"/>
        <rFont val="Microsoft JhengHei"/>
        <family val="0"/>
        <charset val="1"/>
      </rPr>
      <t xml:space="preserve">) — Hybrid License Model</t>
    </r>
  </si>
  <si>
    <r>
      <rPr>
        <sz val="10"/>
        <color rgb="FF000000"/>
        <rFont val="Microsoft JhengHei"/>
        <family val="0"/>
        <charset val="1"/>
      </rPr>
      <t xml:space="preserve">3CX PerSeat </t>
    </r>
    <r>
      <rPr>
        <sz val="10"/>
        <color rgb="FF000000"/>
        <rFont val="DejaVu Sans"/>
        <family val="2"/>
      </rPr>
      <t xml:space="preserve">永久授權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核心 </t>
    </r>
    <r>
      <rPr>
        <sz val="10"/>
        <color rgb="FF000000"/>
        <rFont val="Microsoft JhengHei"/>
        <family val="0"/>
        <charset val="1"/>
      </rPr>
      <t xml:space="preserve">300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, USD/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</si>
  <si>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666666"/>
        <rFont val="Microsoft JhengHei"/>
        <family val="0"/>
        <charset val="1"/>
      </rPr>
      <t xml:space="preserve">USD/</t>
    </r>
    <r>
      <rPr>
        <sz val="10"/>
        <color rgb="FF666666"/>
        <rFont val="DejaVu Sans"/>
        <family val="2"/>
      </rPr>
      <t xml:space="preserve">席 永久</t>
    </r>
  </si>
  <si>
    <t xml:space="preserve">一次性</t>
  </si>
  <si>
    <r>
      <rPr>
        <sz val="10"/>
        <color rgb="FF000000"/>
        <rFont val="Microsoft JhengHei"/>
        <family val="0"/>
        <charset val="1"/>
      </rPr>
      <t xml:space="preserve">3CX PerYear </t>
    </r>
    <r>
      <rPr>
        <sz val="10"/>
        <color rgb="FF000000"/>
        <rFont val="DejaVu Sans"/>
        <family val="2"/>
      </rPr>
      <t xml:space="preserve">訂閱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彈性 </t>
    </r>
    <r>
      <rPr>
        <sz val="10"/>
        <color rgb="FF000000"/>
        <rFont val="Microsoft JhengHei"/>
        <family val="0"/>
        <charset val="1"/>
      </rPr>
      <t xml:space="preserve">150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, USD/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</si>
  <si>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666666"/>
        <rFont val="Microsoft JhengHei"/>
        <family val="0"/>
        <charset val="1"/>
      </rPr>
      <t xml:space="preserve">USD/</t>
    </r>
    <r>
      <rPr>
        <sz val="10"/>
        <color rgb="FF666666"/>
        <rFont val="DejaVu Sans"/>
        <family val="2"/>
      </rPr>
      <t xml:space="preserve">席</t>
    </r>
    <r>
      <rPr>
        <sz val="10"/>
        <color rgb="FF666666"/>
        <rFont val="Microsoft JhengHei"/>
        <family val="0"/>
        <charset val="1"/>
      </rPr>
      <t xml:space="preserve">/</t>
    </r>
    <r>
      <rPr>
        <sz val="10"/>
        <color rgb="FF666666"/>
        <rFont val="DejaVu Sans"/>
        <family val="2"/>
      </rPr>
      <t xml:space="preserve">年</t>
    </r>
  </si>
  <si>
    <t xml:space="preserve">年度可調</t>
  </si>
  <si>
    <r>
      <rPr>
        <sz val="10"/>
        <color rgb="FF000000"/>
        <rFont val="Microsoft JhengHei"/>
        <family val="0"/>
        <charset val="1"/>
      </rPr>
      <t xml:space="preserve">3CX Premium Partner </t>
    </r>
    <r>
      <rPr>
        <sz val="10"/>
        <color rgb="FF000000"/>
        <rFont val="DejaVu Sans"/>
        <family val="2"/>
      </rPr>
      <t xml:space="preserve">加成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, USD)</t>
    </r>
  </si>
  <si>
    <r>
      <rPr>
        <i val="true"/>
        <sz val="9"/>
        <color rgb="FF666666"/>
        <rFont val="DejaVu Sans"/>
        <family val="2"/>
      </rPr>
      <t xml:space="preserve">原廠 </t>
    </r>
    <r>
      <rPr>
        <i val="true"/>
        <sz val="9"/>
        <color rgb="FF666666"/>
        <rFont val="Microsoft JhengHei"/>
        <family val="0"/>
        <charset val="1"/>
      </rPr>
      <t xml:space="preserve">escalation </t>
    </r>
    <r>
      <rPr>
        <i val="true"/>
        <sz val="9"/>
        <color rgb="FF666666"/>
        <rFont val="DejaVu Sans"/>
        <family val="2"/>
      </rPr>
      <t xml:space="preserve">升級</t>
    </r>
  </si>
  <si>
    <r>
      <rPr>
        <sz val="10"/>
        <color rgb="FF000000"/>
        <rFont val="Microsoft JhengHei"/>
        <family val="0"/>
        <charset val="1"/>
      </rPr>
      <t xml:space="preserve">Source Code Escrow </t>
    </r>
    <r>
      <rPr>
        <sz val="10"/>
        <color rgb="FF000000"/>
        <rFont val="DejaVu Sans"/>
        <family val="2"/>
      </rPr>
      <t xml:space="preserve">年費 </t>
    </r>
    <r>
      <rPr>
        <sz val="10"/>
        <color rgb="FF000000"/>
        <rFont val="Microsoft JhengHei"/>
        <family val="0"/>
        <charset val="1"/>
      </rPr>
      <t xml:space="preserve">(NTD)</t>
    </r>
  </si>
  <si>
    <r>
      <rPr>
        <i val="true"/>
        <sz val="9"/>
        <color rgb="FF666666"/>
        <rFont val="Microsoft JhengHei"/>
        <family val="0"/>
        <charset val="1"/>
      </rPr>
      <t xml:space="preserve">Iron Mountain </t>
    </r>
    <r>
      <rPr>
        <i val="true"/>
        <sz val="9"/>
        <color rgb="FF666666"/>
        <rFont val="DejaVu Sans"/>
        <family val="2"/>
      </rPr>
      <t xml:space="preserve">託管</t>
    </r>
  </si>
  <si>
    <r>
      <rPr>
        <sz val="10"/>
        <color rgb="FF000000"/>
        <rFont val="DejaVu Sans"/>
        <family val="2"/>
      </rPr>
      <t xml:space="preserve">瑛聲建置服務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, NTD)</t>
    </r>
  </si>
  <si>
    <r>
      <rPr>
        <i val="true"/>
        <sz val="9"/>
        <color rgb="FF666666"/>
        <rFont val="Microsoft JhengHei"/>
        <family val="0"/>
        <charset val="1"/>
      </rPr>
      <t xml:space="preserve">6 </t>
    </r>
    <r>
      <rPr>
        <i val="true"/>
        <sz val="9"/>
        <color rgb="FF666666"/>
        <rFont val="DejaVu Sans"/>
        <family val="2"/>
      </rPr>
      <t xml:space="preserve">個月開發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部署 </t>
    </r>
    <r>
      <rPr>
        <i val="true"/>
        <sz val="9"/>
        <color rgb="FF666666"/>
        <rFont val="Microsoft JhengHei"/>
        <family val="0"/>
        <charset val="1"/>
      </rPr>
      <t xml:space="preserve">+ UAT</t>
    </r>
  </si>
  <si>
    <r>
      <rPr>
        <sz val="10"/>
        <color rgb="FF000000"/>
        <rFont val="DejaVu Sans"/>
        <family val="2"/>
      </rPr>
      <t xml:space="preserve">瑛聲年度維護 </t>
    </r>
    <r>
      <rPr>
        <sz val="10"/>
        <color rgb="FF000000"/>
        <rFont val="Microsoft JhengHei"/>
        <family val="0"/>
        <charset val="1"/>
      </rPr>
      <t xml:space="preserve">L1+L2 (NTD)</t>
    </r>
  </si>
  <si>
    <r>
      <rPr>
        <i val="true"/>
        <sz val="9"/>
        <color rgb="FF666666"/>
        <rFont val="Microsoft JhengHei"/>
        <family val="0"/>
        <charset val="1"/>
      </rPr>
      <t xml:space="preserve">7×24 </t>
    </r>
    <r>
      <rPr>
        <i val="true"/>
        <sz val="9"/>
        <color rgb="FF666666"/>
        <rFont val="DejaVu Sans"/>
        <family val="2"/>
      </rPr>
      <t xml:space="preserve">支援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月度健診</t>
    </r>
  </si>
  <si>
    <r>
      <rPr>
        <sz val="10"/>
        <color rgb="FF000000"/>
        <rFont val="Microsoft JhengHei"/>
        <family val="0"/>
        <charset val="1"/>
      </rPr>
      <t xml:space="preserve">SBC </t>
    </r>
    <r>
      <rPr>
        <sz val="10"/>
        <color rgb="FF000000"/>
        <rFont val="DejaVu Sans"/>
        <family val="2"/>
      </rPr>
      <t xml:space="preserve">硬體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, NTD)</t>
    </r>
  </si>
  <si>
    <r>
      <rPr>
        <i val="true"/>
        <sz val="9"/>
        <color rgb="FF666666"/>
        <rFont val="Microsoft JhengHei"/>
        <family val="0"/>
        <charset val="1"/>
      </rPr>
      <t xml:space="preserve">AudioCodes (</t>
    </r>
    <r>
      <rPr>
        <i val="true"/>
        <sz val="9"/>
        <color rgb="FF666666"/>
        <rFont val="DejaVu Sans"/>
        <family val="2"/>
      </rPr>
      <t xml:space="preserve">與自建同規格</t>
    </r>
    <r>
      <rPr>
        <i val="true"/>
        <sz val="9"/>
        <color rgb="FF666666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</si>
  <si>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OPEN/NAS </t>
    </r>
    <r>
      <rPr>
        <sz val="10"/>
        <color rgb="FF000000"/>
        <rFont val="DejaVu Sans"/>
        <family val="2"/>
      </rPr>
      <t xml:space="preserve">整合工時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 </t>
    </r>
    <r>
      <rPr>
        <sz val="10"/>
        <color rgb="FF000000"/>
        <rFont val="Microsoft JhengHei"/>
        <family val="0"/>
        <charset val="1"/>
      </rPr>
      <t xml:space="preserve">NTD)</t>
    </r>
  </si>
  <si>
    <t xml:space="preserve">對接玉山既有資產</t>
  </si>
  <si>
    <r>
      <rPr>
        <b val="true"/>
        <sz val="16"/>
        <color rgb="FF0E5066"/>
        <rFont val="DejaVu Sans"/>
        <family val="2"/>
      </rPr>
      <t xml:space="preserve">方案 </t>
    </r>
    <r>
      <rPr>
        <b val="true"/>
        <sz val="16"/>
        <color rgb="FF0E5066"/>
        <rFont val="Microsoft JhengHei"/>
        <family val="0"/>
        <charset val="1"/>
      </rPr>
      <t xml:space="preserve">A — </t>
    </r>
    <r>
      <rPr>
        <b val="true"/>
        <sz val="16"/>
        <color rgb="FF0E5066"/>
        <rFont val="DejaVu Sans"/>
        <family val="2"/>
      </rPr>
      <t xml:space="preserve">續用 </t>
    </r>
    <r>
      <rPr>
        <b val="true"/>
        <sz val="16"/>
        <color rgb="FF0E5066"/>
        <rFont val="Microsoft JhengHei"/>
        <family val="0"/>
        <charset val="1"/>
      </rPr>
      <t xml:space="preserve">Genesys (NTD,</t>
    </r>
    <r>
      <rPr>
        <b val="true"/>
        <sz val="16"/>
        <color rgb="FF0E5066"/>
        <rFont val="DejaVu Sans"/>
        <family val="2"/>
      </rPr>
      <t xml:space="preserve">千元</t>
    </r>
    <r>
      <rPr>
        <b val="true"/>
        <sz val="16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</si>
  <si>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前提</t>
    </r>
    <r>
      <rPr>
        <i val="true"/>
        <sz val="9"/>
        <color rgb="FF666666"/>
        <rFont val="Microsoft JhengHei"/>
        <family val="0"/>
        <charset val="1"/>
      </rPr>
      <t xml:space="preserve">:Genesys Engage 11 </t>
    </r>
    <r>
      <rPr>
        <i val="true"/>
        <sz val="9"/>
        <color rgb="FF666666"/>
        <rFont val="DejaVu Sans"/>
        <family val="2"/>
      </rPr>
      <t xml:space="preserve">走 </t>
    </r>
    <r>
      <rPr>
        <i val="true"/>
        <sz val="9"/>
        <color rgb="FF666666"/>
        <rFont val="Microsoft JhengHei"/>
        <family val="0"/>
        <charset val="1"/>
      </rPr>
      <t xml:space="preserve">Extended Support </t>
    </r>
    <r>
      <rPr>
        <i val="true"/>
        <sz val="9"/>
        <color rgb="FF666666"/>
        <rFont val="DejaVu Sans"/>
        <family val="2"/>
      </rPr>
      <t xml:space="preserve">兩年</t>
    </r>
    <r>
      <rPr>
        <i val="true"/>
        <sz val="9"/>
        <color rgb="FF666666"/>
        <rFont val="Microsoft JhengHei"/>
        <family val="0"/>
        <charset val="1"/>
      </rPr>
      <t xml:space="preserve">,Y3 </t>
    </r>
    <r>
      <rPr>
        <i val="true"/>
        <sz val="9"/>
        <color rgb="FF666666"/>
        <rFont val="DejaVu Sans"/>
        <family val="2"/>
      </rPr>
      <t xml:space="preserve">起被迫升級到 </t>
    </r>
    <r>
      <rPr>
        <i val="true"/>
        <sz val="9"/>
        <color rgb="FF666666"/>
        <rFont val="Microsoft JhengHei"/>
        <family val="0"/>
        <charset val="1"/>
      </rPr>
      <t xml:space="preserve">Genesys Cloud (per-agent </t>
    </r>
    <r>
      <rPr>
        <i val="true"/>
        <sz val="9"/>
        <color rgb="FF666666"/>
        <rFont val="DejaVu Sans"/>
        <family val="2"/>
      </rPr>
      <t xml:space="preserve">訂閱</t>
    </r>
    <r>
      <rPr>
        <i val="true"/>
        <sz val="9"/>
        <color rgb="FF666666"/>
        <rFont val="Microsoft JhengHei"/>
        <family val="0"/>
        <charset val="1"/>
      </rPr>
      <t xml:space="preserve">)</t>
    </r>
    <r>
      <rPr>
        <i val="true"/>
        <sz val="9"/>
        <color rgb="FF666666"/>
        <rFont val="DejaVu Sans"/>
        <family val="2"/>
      </rPr>
      <t xml:space="preserve">。</t>
    </r>
    <r>
      <rPr>
        <i val="true"/>
        <sz val="9"/>
        <color rgb="FF666666"/>
        <rFont val="Microsoft JhengHei"/>
        <family val="0"/>
        <charset val="1"/>
      </rPr>
      <t xml:space="preserve">EOL </t>
    </r>
    <r>
      <rPr>
        <i val="true"/>
        <sz val="9"/>
        <color rgb="FF666666"/>
        <rFont val="DejaVu Sans"/>
        <family val="2"/>
      </rPr>
      <t xml:space="preserve">後 </t>
    </r>
    <r>
      <rPr>
        <i val="true"/>
        <sz val="9"/>
        <color rgb="FF666666"/>
        <rFont val="Microsoft JhengHei"/>
        <family val="0"/>
        <charset val="1"/>
      </rPr>
      <t xml:space="preserve">Extended Support </t>
    </r>
    <r>
      <rPr>
        <i val="true"/>
        <sz val="9"/>
        <color rgb="FF666666"/>
        <rFont val="DejaVu Sans"/>
        <family val="2"/>
      </rPr>
      <t xml:space="preserve">費用跳價 </t>
    </r>
    <r>
      <rPr>
        <i val="true"/>
        <sz val="9"/>
        <color rgb="FF666666"/>
        <rFont val="Microsoft JhengHei"/>
        <family val="0"/>
        <charset val="1"/>
      </rPr>
      <t xml:space="preserve">30%</t>
    </r>
    <r>
      <rPr>
        <i val="true"/>
        <sz val="9"/>
        <color rgb="FF666666"/>
        <rFont val="DejaVu Sans"/>
        <family val="2"/>
      </rPr>
      <t xml:space="preserve">。</t>
    </r>
  </si>
  <si>
    <r>
      <rPr>
        <b val="true"/>
        <sz val="11"/>
        <color rgb="FFFFFFFF"/>
        <rFont val="Microsoft JhengHei"/>
        <family val="0"/>
        <charset val="1"/>
      </rPr>
      <t xml:space="preserve">Y0 (</t>
    </r>
    <r>
      <rPr>
        <b val="true"/>
        <sz val="11"/>
        <color rgb="FFFFFFFF"/>
        <rFont val="DejaVu Sans"/>
        <family val="2"/>
      </rPr>
      <t xml:space="preserve">一次性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</si>
  <si>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Y1</t>
  </si>
  <si>
    <t xml:space="preserve">Y2</t>
  </si>
  <si>
    <t xml:space="preserve">Y3</t>
  </si>
  <si>
    <t xml:space="preserve">Y4</t>
  </si>
  <si>
    <t xml:space="preserve">Y5</t>
  </si>
  <si>
    <r>
      <rPr>
        <sz val="10"/>
        <color rgb="FF000000"/>
        <rFont val="Microsoft JhengHei"/>
        <family val="0"/>
        <charset val="1"/>
      </rPr>
      <t xml:space="preserve">Genesys Extended Support </t>
    </r>
    <r>
      <rPr>
        <sz val="10"/>
        <color rgb="FF000000"/>
        <rFont val="DejaVu Sans"/>
        <family val="2"/>
      </rPr>
      <t xml:space="preserve">年費</t>
    </r>
  </si>
  <si>
    <r>
      <rPr>
        <sz val="10"/>
        <color rgb="FF000000"/>
        <rFont val="Microsoft JhengHei"/>
        <family val="0"/>
        <charset val="1"/>
      </rPr>
      <t xml:space="preserve">Genesys Cloud </t>
    </r>
    <r>
      <rPr>
        <sz val="10"/>
        <color rgb="FF000000"/>
        <rFont val="DejaVu Sans"/>
        <family val="2"/>
      </rPr>
      <t xml:space="preserve">訂閱 </t>
    </r>
    <r>
      <rPr>
        <sz val="10"/>
        <color rgb="FF000000"/>
        <rFont val="Microsoft JhengHei"/>
        <family val="0"/>
        <charset val="1"/>
      </rPr>
      <t xml:space="preserve">(Y3 </t>
    </r>
    <r>
      <rPr>
        <sz val="10"/>
        <color rgb="FF000000"/>
        <rFont val="DejaVu Sans"/>
        <family val="2"/>
      </rPr>
      <t xml:space="preserve">起切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</si>
  <si>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遷移到 </t>
    </r>
    <r>
      <rPr>
        <sz val="10"/>
        <color rgb="FF000000"/>
        <rFont val="Microsoft JhengHei"/>
        <family val="0"/>
        <charset val="1"/>
      </rPr>
      <t xml:space="preserve">Cloud </t>
    </r>
    <r>
      <rPr>
        <sz val="10"/>
        <color rgb="FF000000"/>
        <rFont val="DejaVu Sans"/>
        <family val="2"/>
      </rPr>
      <t xml:space="preserve">一次性</t>
    </r>
  </si>
  <si>
    <r>
      <rPr>
        <sz val="10"/>
        <color rgb="FF000000"/>
        <rFont val="DejaVu Sans"/>
        <family val="2"/>
      </rPr>
      <t xml:space="preserve">原廠 </t>
    </r>
    <r>
      <rPr>
        <sz val="10"/>
        <color rgb="FF000000"/>
        <rFont val="Microsoft JhengHei"/>
        <family val="0"/>
        <charset val="1"/>
      </rPr>
      <t xml:space="preserve">PS </t>
    </r>
    <r>
      <rPr>
        <sz val="10"/>
        <color rgb="FF000000"/>
        <rFont val="DejaVu Sans"/>
        <family val="2"/>
      </rPr>
      <t xml:space="preserve">顧問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補救方案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</si>
  <si>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玉山 </t>
    </r>
    <r>
      <rPr>
        <sz val="10"/>
        <color rgb="FF000000"/>
        <rFont val="Microsoft JhengHei"/>
        <family val="0"/>
        <charset val="1"/>
      </rPr>
      <t xml:space="preserve">IT </t>
    </r>
    <r>
      <rPr>
        <sz val="10"/>
        <color rgb="FF000000"/>
        <rFont val="DejaVu Sans"/>
        <family val="2"/>
      </rPr>
      <t xml:space="preserve">內部投入</t>
    </r>
  </si>
  <si>
    <r>
      <rPr>
        <b val="true"/>
        <sz val="10"/>
        <color rgb="FF0E5066"/>
        <rFont val="DejaVu Sans"/>
        <family val="2"/>
      </rPr>
      <t xml:space="preserve">小計 </t>
    </r>
    <r>
      <rPr>
        <b val="true"/>
        <sz val="10"/>
        <color rgb="FF0E5066"/>
        <rFont val="Microsoft JhengHei"/>
        <family val="0"/>
        <charset val="1"/>
      </rPr>
      <t xml:space="preserve">(NTD)</t>
    </r>
  </si>
  <si>
    <r>
      <rPr>
        <b val="true"/>
        <sz val="10"/>
        <color rgb="FF0E5066"/>
        <rFont val="DejaVu Sans"/>
        <family val="2"/>
      </rPr>
      <t xml:space="preserve">累積 </t>
    </r>
    <r>
      <rPr>
        <b val="true"/>
        <sz val="10"/>
        <color rgb="FF0E5066"/>
        <rFont val="Microsoft JhengHei"/>
        <family val="0"/>
        <charset val="1"/>
      </rPr>
      <t xml:space="preserve">TCO (NTD)</t>
    </r>
  </si>
  <si>
    <r>
      <rPr>
        <b val="true"/>
        <sz val="10"/>
        <color rgb="FF0E5066"/>
        <rFont val="Microsoft JhengHei"/>
        <family val="0"/>
        <charset val="1"/>
      </rPr>
      <t xml:space="preserve">3 </t>
    </r>
    <r>
      <rPr>
        <b val="true"/>
        <sz val="10"/>
        <color rgb="FF0E5066"/>
        <rFont val="DejaVu Sans"/>
        <family val="2"/>
      </rPr>
      <t xml:space="preserve">年 </t>
    </r>
    <r>
      <rPr>
        <b val="true"/>
        <sz val="10"/>
        <color rgb="FF0E5066"/>
        <rFont val="Microsoft JhengHei"/>
        <family val="0"/>
        <charset val="1"/>
      </rPr>
      <t xml:space="preserve">TCO (Y0-Y3)</t>
    </r>
  </si>
  <si>
    <r>
      <rPr>
        <b val="true"/>
        <sz val="10"/>
        <color rgb="FF0E5066"/>
        <rFont val="Microsoft JhengHei"/>
        <family val="0"/>
        <charset val="1"/>
      </rPr>
      <t xml:space="preserve">5 </t>
    </r>
    <r>
      <rPr>
        <b val="true"/>
        <sz val="10"/>
        <color rgb="FF0E5066"/>
        <rFont val="DejaVu Sans"/>
        <family val="2"/>
      </rPr>
      <t xml:space="preserve">年 </t>
    </r>
    <r>
      <rPr>
        <b val="true"/>
        <sz val="10"/>
        <color rgb="FF0E5066"/>
        <rFont val="Microsoft JhengHei"/>
        <family val="0"/>
        <charset val="1"/>
      </rPr>
      <t xml:space="preserve">TCO (Y0-Y5)</t>
    </r>
  </si>
  <si>
    <r>
      <rPr>
        <sz val="10"/>
        <color rgb="FF000000"/>
        <rFont val="DejaVu Sans"/>
        <family val="2"/>
      </rPr>
      <t xml:space="preserve">每席年成本 </t>
    </r>
    <r>
      <rPr>
        <sz val="10"/>
        <color rgb="FF000000"/>
        <rFont val="Microsoft JhengHei"/>
        <family val="0"/>
        <charset val="1"/>
      </rPr>
      <t xml:space="preserve">(5 </t>
    </r>
    <r>
      <rPr>
        <sz val="10"/>
        <color rgb="FF000000"/>
        <rFont val="DejaVu Sans"/>
        <family val="2"/>
      </rPr>
      <t xml:space="preserve">年平均</t>
    </r>
    <r>
      <rPr>
        <sz val="10"/>
        <color rgb="FF000000"/>
        <rFont val="Microsoft JhengHei"/>
        <family val="0"/>
        <charset val="1"/>
      </rPr>
      <t xml:space="preserve">, NTD)</t>
    </r>
  </si>
  <si>
    <r>
      <rPr>
        <b val="true"/>
        <sz val="11"/>
        <color rgb="FFC0392B"/>
        <rFont val="DejaVu Sans"/>
        <family val="2"/>
      </rPr>
      <t xml:space="preserve">【方案 </t>
    </r>
    <r>
      <rPr>
        <b val="true"/>
        <sz val="11"/>
        <color rgb="FFC0392B"/>
        <rFont val="Microsoft JhengHei"/>
        <family val="0"/>
        <charset val="1"/>
      </rPr>
      <t xml:space="preserve">A </t>
    </r>
    <r>
      <rPr>
        <b val="true"/>
        <sz val="11"/>
        <color rgb="FFC0392B"/>
        <rFont val="DejaVu Sans"/>
        <family val="2"/>
      </rPr>
      <t xml:space="preserve">風險提示】</t>
    </r>
  </si>
  <si>
    <r>
      <rPr>
        <i val="true"/>
        <sz val="9"/>
        <color rgb="FF666666"/>
        <rFont val="Microsoft JhengHei"/>
        <family val="0"/>
        <charset val="1"/>
      </rPr>
      <t xml:space="preserve">1. EOL </t>
    </r>
    <r>
      <rPr>
        <i val="true"/>
        <sz val="9"/>
        <color rgb="FF666666"/>
        <rFont val="DejaVu Sans"/>
        <family val="2"/>
      </rPr>
      <t xml:space="preserve">後 </t>
    </r>
    <r>
      <rPr>
        <i val="true"/>
        <sz val="9"/>
        <color rgb="FF666666"/>
        <rFont val="Microsoft JhengHei"/>
        <family val="0"/>
        <charset val="1"/>
      </rPr>
      <t xml:space="preserve">Extended Support </t>
    </r>
    <r>
      <rPr>
        <i val="true"/>
        <sz val="9"/>
        <color rgb="FF666666"/>
        <rFont val="DejaVu Sans"/>
        <family val="2"/>
      </rPr>
      <t xml:space="preserve">是「賣方市場」</t>
    </r>
    <r>
      <rPr>
        <i val="true"/>
        <sz val="9"/>
        <color rgb="FF666666"/>
        <rFont val="Microsoft JhengHei"/>
        <family val="0"/>
        <charset val="1"/>
      </rPr>
      <t xml:space="preserve">,Genesys </t>
    </r>
    <r>
      <rPr>
        <i val="true"/>
        <sz val="9"/>
        <color rgb="FF666666"/>
        <rFont val="DejaVu Sans"/>
        <family val="2"/>
      </rPr>
      <t xml:space="preserve">可任意調價</t>
    </r>
    <r>
      <rPr>
        <i val="true"/>
        <sz val="9"/>
        <color rgb="FF666666"/>
        <rFont val="Microsoft JhengHei"/>
        <family val="0"/>
        <charset val="1"/>
      </rPr>
      <t xml:space="preserve">,30% </t>
    </r>
    <r>
      <rPr>
        <i val="true"/>
        <sz val="9"/>
        <color rgb="FF666666"/>
        <rFont val="DejaVu Sans"/>
        <family val="2"/>
      </rPr>
      <t xml:space="preserve">風險加成可能不夠</t>
    </r>
  </si>
  <si>
    <r>
      <rPr>
        <i val="true"/>
        <sz val="9"/>
        <color rgb="FF666666"/>
        <rFont val="Microsoft JhengHei"/>
        <family val="0"/>
        <charset val="1"/>
      </rPr>
      <t xml:space="preserve">2. Y3 </t>
    </r>
    <r>
      <rPr>
        <i val="true"/>
        <sz val="9"/>
        <color rgb="FF666666"/>
        <rFont val="DejaVu Sans"/>
        <family val="2"/>
      </rPr>
      <t xml:space="preserve">強制升級到 </t>
    </r>
    <r>
      <rPr>
        <i val="true"/>
        <sz val="9"/>
        <color rgb="FF666666"/>
        <rFont val="Microsoft JhengHei"/>
        <family val="0"/>
        <charset val="1"/>
      </rPr>
      <t xml:space="preserve">Cloud </t>
    </r>
    <r>
      <rPr>
        <i val="true"/>
        <sz val="9"/>
        <color rgb="FF666666"/>
        <rFont val="DejaVu Sans"/>
        <family val="2"/>
      </rPr>
      <t xml:space="preserve">後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客戶資料、客製流程需全部重做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有不可預期的工程量</t>
    </r>
  </si>
  <si>
    <r>
      <rPr>
        <i val="true"/>
        <sz val="9"/>
        <color rgb="FF666666"/>
        <rFont val="Microsoft JhengHei"/>
        <family val="0"/>
        <charset val="1"/>
      </rPr>
      <t xml:space="preserve">3. Cloud </t>
    </r>
    <r>
      <rPr>
        <i val="true"/>
        <sz val="9"/>
        <color rgb="FF666666"/>
        <rFont val="DejaVu Sans"/>
        <family val="2"/>
      </rPr>
      <t xml:space="preserve">模式的「資料主權」議題 — 玉山法務可能不接受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可能再被迫換方案</t>
    </r>
  </si>
  <si>
    <r>
      <rPr>
        <i val="true"/>
        <sz val="9"/>
        <color rgb="FF666666"/>
        <rFont val="Microsoft JhengHei"/>
        <family val="0"/>
        <charset val="1"/>
      </rPr>
      <t xml:space="preserve">4. </t>
    </r>
    <r>
      <rPr>
        <i val="true"/>
        <sz val="9"/>
        <color rgb="FF666666"/>
        <rFont val="DejaVu Sans"/>
        <family val="2"/>
      </rPr>
      <t xml:space="preserve">若 </t>
    </r>
    <r>
      <rPr>
        <i val="true"/>
        <sz val="9"/>
        <color rgb="FF666666"/>
        <rFont val="Microsoft JhengHei"/>
        <family val="0"/>
        <charset val="1"/>
      </rPr>
      <t xml:space="preserve">Y3 </t>
    </r>
    <r>
      <rPr>
        <i val="true"/>
        <sz val="9"/>
        <color rgb="FF666666"/>
        <rFont val="DejaVu Sans"/>
        <family val="2"/>
      </rPr>
      <t xml:space="preserve">升級失敗或不滿意</t>
    </r>
    <r>
      <rPr>
        <i val="true"/>
        <sz val="9"/>
        <color rgb="FF666666"/>
        <rFont val="Microsoft JhengHei"/>
        <family val="0"/>
        <charset val="1"/>
      </rPr>
      <t xml:space="preserve">,Y3 </t>
    </r>
    <r>
      <rPr>
        <i val="true"/>
        <sz val="9"/>
        <color rgb="FF666666"/>
        <rFont val="DejaVu Sans"/>
        <family val="2"/>
      </rPr>
      <t xml:space="preserve">之後可能還要再換廠商</t>
    </r>
    <r>
      <rPr>
        <i val="true"/>
        <sz val="9"/>
        <color rgb="FF666666"/>
        <rFont val="Microsoft JhengHei"/>
        <family val="0"/>
        <charset val="1"/>
      </rPr>
      <t xml:space="preserve">,5 </t>
    </r>
    <r>
      <rPr>
        <i val="true"/>
        <sz val="9"/>
        <color rgb="FF666666"/>
        <rFont val="DejaVu Sans"/>
        <family val="2"/>
      </rPr>
      <t xml:space="preserve">年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可能再翻倍</t>
    </r>
  </si>
  <si>
    <r>
      <rPr>
        <b val="true"/>
        <sz val="16"/>
        <color rgb="FF0E5066"/>
        <rFont val="DejaVu Sans"/>
        <family val="2"/>
      </rPr>
      <t xml:space="preserve">方案 </t>
    </r>
    <r>
      <rPr>
        <b val="true"/>
        <sz val="16"/>
        <color rgb="FF0E5066"/>
        <rFont val="Microsoft JhengHei"/>
        <family val="0"/>
        <charset val="1"/>
      </rPr>
      <t xml:space="preserve">B — </t>
    </r>
    <r>
      <rPr>
        <b val="true"/>
        <sz val="16"/>
        <color rgb="FF0E5066"/>
        <rFont val="DejaVu Sans"/>
        <family val="2"/>
      </rPr>
      <t xml:space="preserve">瑛聲自建 </t>
    </r>
    <r>
      <rPr>
        <b val="true"/>
        <sz val="16"/>
        <color rgb="FF0E5066"/>
        <rFont val="Microsoft JhengHei"/>
        <family val="0"/>
        <charset val="1"/>
      </rPr>
      <t xml:space="preserve">PBX </t>
    </r>
    <r>
      <rPr>
        <b val="true"/>
        <sz val="16"/>
        <color rgb="FF0E5066"/>
        <rFont val="DejaVu Sans"/>
        <family val="2"/>
      </rPr>
      <t xml:space="preserve">平台 </t>
    </r>
    <r>
      <rPr>
        <b val="true"/>
        <sz val="16"/>
        <color rgb="FF0E5066"/>
        <rFont val="Microsoft JhengHei"/>
        <family val="0"/>
        <charset val="1"/>
      </rPr>
      <t xml:space="preserve">(NTD,</t>
    </r>
    <r>
      <rPr>
        <b val="true"/>
        <sz val="16"/>
        <color rgb="FF0E5066"/>
        <rFont val="DejaVu Sans"/>
        <family val="2"/>
      </rPr>
      <t xml:space="preserve">千元</t>
    </r>
    <r>
      <rPr>
        <b val="true"/>
        <sz val="16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</si>
  <si>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前提</t>
    </r>
    <r>
      <rPr>
        <i val="true"/>
        <sz val="9"/>
        <color rgb="FF666666"/>
        <rFont val="Microsoft JhengHei"/>
        <family val="0"/>
        <charset val="1"/>
      </rPr>
      <t xml:space="preserve">: 18 </t>
    </r>
    <r>
      <rPr>
        <i val="true"/>
        <sz val="9"/>
        <color rgb="FF666666"/>
        <rFont val="DejaVu Sans"/>
        <family val="2"/>
      </rPr>
      <t xml:space="preserve">個月開發 </t>
    </r>
    <r>
      <rPr>
        <i val="true"/>
        <sz val="9"/>
        <color rgb="FF666666"/>
        <rFont val="Microsoft JhengHei"/>
        <family val="0"/>
        <charset val="1"/>
      </rPr>
      <t xml:space="preserve">+ 6 </t>
    </r>
    <r>
      <rPr>
        <i val="true"/>
        <sz val="9"/>
        <color rgb="FF666666"/>
        <rFont val="DejaVu Sans"/>
        <family val="2"/>
      </rPr>
      <t xml:space="preserve">個月測試</t>
    </r>
    <r>
      <rPr>
        <i val="true"/>
        <sz val="9"/>
        <color rgb="FF666666"/>
        <rFont val="Microsoft JhengHei"/>
        <family val="0"/>
        <charset val="1"/>
      </rPr>
      <t xml:space="preserve">,Y2-Q3 </t>
    </r>
    <r>
      <rPr>
        <i val="true"/>
        <sz val="9"/>
        <color rgb="FF666666"/>
        <rFont val="DejaVu Sans"/>
        <family val="2"/>
      </rPr>
      <t xml:space="preserve">上線。</t>
    </r>
    <r>
      <rPr>
        <i val="true"/>
        <sz val="9"/>
        <color rgb="FF666666"/>
        <rFont val="Microsoft JhengHei"/>
        <family val="0"/>
        <charset val="1"/>
      </rPr>
      <t xml:space="preserve">Y1-Y2 </t>
    </r>
    <r>
      <rPr>
        <i val="true"/>
        <sz val="9"/>
        <color rgb="FF666666"/>
        <rFont val="DejaVu Sans"/>
        <family val="2"/>
      </rPr>
      <t xml:space="preserve">為開發期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含 </t>
    </r>
    <r>
      <rPr>
        <i val="true"/>
        <sz val="9"/>
        <color rgb="FF666666"/>
        <rFont val="Microsoft JhengHei"/>
        <family val="0"/>
        <charset val="1"/>
      </rPr>
      <t xml:space="preserve">20% </t>
    </r>
    <r>
      <rPr>
        <i val="true"/>
        <sz val="9"/>
        <color rgb="FF666666"/>
        <rFont val="DejaVu Sans"/>
        <family val="2"/>
      </rPr>
      <t xml:space="preserve">時程超期 </t>
    </r>
    <r>
      <rPr>
        <i val="true"/>
        <sz val="9"/>
        <color rgb="FF666666"/>
        <rFont val="Microsoft JhengHei"/>
        <family val="0"/>
        <charset val="1"/>
      </rPr>
      <t xml:space="preserve">buffer</t>
    </r>
    <r>
      <rPr>
        <i val="true"/>
        <sz val="9"/>
        <color rgb="FF666666"/>
        <rFont val="DejaVu Sans"/>
        <family val="2"/>
      </rPr>
      <t xml:space="preserve">。</t>
    </r>
  </si>
  <si>
    <r>
      <rPr>
        <sz val="10"/>
        <color rgb="FF000000"/>
        <rFont val="Microsoft JhengHei"/>
        <family val="0"/>
        <charset val="1"/>
      </rPr>
      <t xml:space="preserve">SIP/RTP/SBC </t>
    </r>
    <r>
      <rPr>
        <sz val="10"/>
        <color rgb="FF000000"/>
        <rFont val="DejaVu Sans"/>
        <family val="2"/>
      </rPr>
      <t xml:space="preserve">高階工程師</t>
    </r>
  </si>
  <si>
    <r>
      <rPr>
        <sz val="10"/>
        <color rgb="FF000000"/>
        <rFont val="Microsoft JhengHei"/>
        <family val="0"/>
        <charset val="1"/>
      </rPr>
      <t xml:space="preserve">PM/</t>
    </r>
    <r>
      <rPr>
        <sz val="10"/>
        <color rgb="FF000000"/>
        <rFont val="DejaVu Sans"/>
        <family val="2"/>
      </rPr>
      <t xml:space="preserve">後端</t>
    </r>
    <r>
      <rPr>
        <sz val="10"/>
        <color rgb="FF000000"/>
        <rFont val="Microsoft JhengHei"/>
        <family val="0"/>
        <charset val="1"/>
      </rPr>
      <t xml:space="preserve">/QA </t>
    </r>
    <r>
      <rPr>
        <sz val="10"/>
        <color rgb="FF000000"/>
        <rFont val="DejaVu Sans"/>
        <family val="2"/>
      </rPr>
      <t xml:space="preserve">一般工程師</t>
    </r>
  </si>
  <si>
    <r>
      <rPr>
        <sz val="10"/>
        <color rgb="FF000000"/>
        <rFont val="Microsoft JhengHei"/>
        <family val="0"/>
        <charset val="1"/>
      </rPr>
      <t xml:space="preserve">SBC </t>
    </r>
    <r>
      <rPr>
        <sz val="10"/>
        <color rgb="FF000000"/>
        <rFont val="DejaVu Sans"/>
        <family val="2"/>
      </rPr>
      <t xml:space="preserve">硬體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</si>
  <si>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Server </t>
    </r>
    <r>
      <rPr>
        <sz val="10"/>
        <color rgb="FF000000"/>
        <rFont val="DejaVu Sans"/>
        <family val="2"/>
      </rPr>
      <t xml:space="preserve">硬體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</si>
  <si>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第三方 </t>
    </r>
    <r>
      <rPr>
        <sz val="10"/>
        <color rgb="FF000000"/>
        <rFont val="Microsoft JhengHei"/>
        <family val="0"/>
        <charset val="1"/>
      </rPr>
      <t xml:space="preserve">codec/license </t>
    </r>
    <r>
      <rPr>
        <sz val="10"/>
        <color rgb="FF000000"/>
        <rFont val="DejaVu Sans"/>
        <family val="2"/>
      </rPr>
      <t xml:space="preserve">年費</t>
    </r>
  </si>
  <si>
    <t xml:space="preserve">上線後維運團隊</t>
  </si>
  <si>
    <r>
      <rPr>
        <sz val="10"/>
        <color rgb="FF000000"/>
        <rFont val="DejaVu Sans"/>
        <family val="2"/>
      </rPr>
      <t xml:space="preserve">硬體年度維護 </t>
    </r>
    <r>
      <rPr>
        <sz val="10"/>
        <color rgb="FF000000"/>
        <rFont val="Microsoft JhengHei"/>
        <family val="0"/>
        <charset val="1"/>
      </rPr>
      <t xml:space="preserve">(15%)</t>
    </r>
  </si>
  <si>
    <r>
      <rPr>
        <b val="true"/>
        <sz val="11"/>
        <color rgb="FFC0392B"/>
        <rFont val="DejaVu Sans"/>
        <family val="2"/>
      </rPr>
      <t xml:space="preserve">【方案 </t>
    </r>
    <r>
      <rPr>
        <b val="true"/>
        <sz val="11"/>
        <color rgb="FFC0392B"/>
        <rFont val="Microsoft JhengHei"/>
        <family val="0"/>
        <charset val="1"/>
      </rPr>
      <t xml:space="preserve">B </t>
    </r>
    <r>
      <rPr>
        <b val="true"/>
        <sz val="11"/>
        <color rgb="FFC0392B"/>
        <rFont val="DejaVu Sans"/>
        <family val="2"/>
      </rPr>
      <t xml:space="preserve">風險提示】</t>
    </r>
  </si>
  <si>
    <r>
      <rPr>
        <i val="true"/>
        <sz val="9"/>
        <color rgb="FF666666"/>
        <rFont val="Microsoft JhengHei"/>
        <family val="0"/>
        <charset val="1"/>
      </rPr>
      <t xml:space="preserve">1. SIP/RTP </t>
    </r>
    <r>
      <rPr>
        <i val="true"/>
        <sz val="9"/>
        <color rgb="FF666666"/>
        <rFont val="DejaVu Sans"/>
        <family val="2"/>
      </rPr>
      <t xml:space="preserve">高階工程師招募困難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實際人月成本可能比假設高 </t>
    </r>
    <r>
      <rPr>
        <i val="true"/>
        <sz val="9"/>
        <color rgb="FF666666"/>
        <rFont val="Microsoft JhengHei"/>
        <family val="0"/>
        <charset val="1"/>
      </rPr>
      <t xml:space="preserve">30-50%</t>
    </r>
  </si>
  <si>
    <r>
      <rPr>
        <i val="true"/>
        <sz val="9"/>
        <color rgb="FF666666"/>
        <rFont val="Microsoft JhengHei"/>
        <family val="0"/>
        <charset val="1"/>
      </rPr>
      <t xml:space="preserve">2. 18 </t>
    </r>
    <r>
      <rPr>
        <i val="true"/>
        <sz val="9"/>
        <color rgb="FF666666"/>
        <rFont val="DejaVu Sans"/>
        <family val="2"/>
      </rPr>
      <t xml:space="preserve">個月開發期是樂觀估計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業界實案常拉到 </t>
    </r>
    <r>
      <rPr>
        <i val="true"/>
        <sz val="9"/>
        <color rgb="FF666666"/>
        <rFont val="Microsoft JhengHei"/>
        <family val="0"/>
        <charset val="1"/>
      </rPr>
      <t xml:space="preserve">24-30 </t>
    </r>
    <r>
      <rPr>
        <i val="true"/>
        <sz val="9"/>
        <color rgb="FF666666"/>
        <rFont val="DejaVu Sans"/>
        <family val="2"/>
      </rPr>
      <t xml:space="preserve">個月</t>
    </r>
  </si>
  <si>
    <r>
      <rPr>
        <i val="true"/>
        <sz val="9"/>
        <color rgb="FF666666"/>
        <rFont val="Microsoft JhengHei"/>
        <family val="0"/>
        <charset val="1"/>
      </rPr>
      <t xml:space="preserve">3. </t>
    </r>
    <r>
      <rPr>
        <i val="true"/>
        <sz val="9"/>
        <color rgb="FF666666"/>
        <rFont val="DejaVu Sans"/>
        <family val="2"/>
      </rPr>
      <t xml:space="preserve">自建後玉山須長期承擔資安漏洞修補責任 — 一次大型漏洞可能讓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翻倍</t>
    </r>
  </si>
  <si>
    <r>
      <rPr>
        <i val="true"/>
        <sz val="9"/>
        <color rgb="FF666666"/>
        <rFont val="Microsoft JhengHei"/>
        <family val="0"/>
        <charset val="1"/>
      </rPr>
      <t xml:space="preserve">4. Y2 </t>
    </r>
    <r>
      <rPr>
        <i val="true"/>
        <sz val="9"/>
        <color rgb="FF666666"/>
        <rFont val="DejaVu Sans"/>
        <family val="2"/>
      </rPr>
      <t xml:space="preserve">上線後若有「上線失敗」或「無法達到 </t>
    </r>
    <r>
      <rPr>
        <i val="true"/>
        <sz val="9"/>
        <color rgb="FF666666"/>
        <rFont val="Microsoft JhengHei"/>
        <family val="0"/>
        <charset val="1"/>
      </rPr>
      <t xml:space="preserve">SLA</t>
    </r>
    <r>
      <rPr>
        <i val="true"/>
        <sz val="9"/>
        <color rgb="FF666666"/>
        <rFont val="DejaVu Sans"/>
        <family val="2"/>
      </rPr>
      <t xml:space="preserve">」風險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可能需要 </t>
    </r>
    <r>
      <rPr>
        <i val="true"/>
        <sz val="9"/>
        <color rgb="FF666666"/>
        <rFont val="Microsoft JhengHei"/>
        <family val="0"/>
        <charset val="1"/>
      </rPr>
      <t xml:space="preserve">PBX vendor </t>
    </r>
    <r>
      <rPr>
        <i val="true"/>
        <sz val="9"/>
        <color rgb="FF666666"/>
        <rFont val="DejaVu Sans"/>
        <family val="2"/>
      </rPr>
      <t xml:space="preserve">救火 — 雙重支出</t>
    </r>
  </si>
  <si>
    <r>
      <rPr>
        <i val="true"/>
        <sz val="9"/>
        <color rgb="FF666666"/>
        <rFont val="Microsoft JhengHei"/>
        <family val="0"/>
        <charset val="1"/>
      </rPr>
      <t xml:space="preserve">5. </t>
    </r>
    <r>
      <rPr>
        <i val="true"/>
        <sz val="9"/>
        <color rgb="FF666666"/>
        <rFont val="DejaVu Sans"/>
        <family val="2"/>
      </rPr>
      <t xml:space="preserve">此方案 </t>
    </r>
    <r>
      <rPr>
        <i val="true"/>
        <sz val="9"/>
        <color rgb="FF666666"/>
        <rFont val="Microsoft JhengHei"/>
        <family val="0"/>
        <charset val="1"/>
      </rPr>
      <t xml:space="preserve">5 </t>
    </r>
    <r>
      <rPr>
        <i val="true"/>
        <sz val="9"/>
        <color rgb="FF666666"/>
        <rFont val="DejaVu Sans"/>
        <family val="2"/>
      </rPr>
      <t xml:space="preserve">年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通常是商業 </t>
    </r>
    <r>
      <rPr>
        <i val="true"/>
        <sz val="9"/>
        <color rgb="FF666666"/>
        <rFont val="Microsoft JhengHei"/>
        <family val="0"/>
        <charset val="1"/>
      </rPr>
      <t xml:space="preserve">PBX </t>
    </r>
    <r>
      <rPr>
        <i val="true"/>
        <sz val="9"/>
        <color rgb="FF666666"/>
        <rFont val="DejaVu Sans"/>
        <family val="2"/>
      </rPr>
      <t xml:space="preserve">方案的 </t>
    </r>
    <r>
      <rPr>
        <i val="true"/>
        <sz val="9"/>
        <color rgb="FF666666"/>
        <rFont val="Microsoft JhengHei"/>
        <family val="0"/>
        <charset val="1"/>
      </rPr>
      <t xml:space="preserve">2-3 </t>
    </r>
    <r>
      <rPr>
        <i val="true"/>
        <sz val="9"/>
        <color rgb="FF666666"/>
        <rFont val="DejaVu Sans"/>
        <family val="2"/>
      </rPr>
      <t xml:space="preserve">倍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但帳上看起來「便宜」是因為許多 </t>
    </r>
    <r>
      <rPr>
        <i val="true"/>
        <sz val="9"/>
        <color rgb="FF666666"/>
        <rFont val="Microsoft JhengHei"/>
        <family val="0"/>
        <charset val="1"/>
      </rPr>
      <t xml:space="preserve">IT </t>
    </r>
    <r>
      <rPr>
        <i val="true"/>
        <sz val="9"/>
        <color rgb="FF666666"/>
        <rFont val="DejaVu Sans"/>
        <family val="2"/>
      </rPr>
      <t xml:space="preserve">投入不被計入</t>
    </r>
  </si>
  <si>
    <r>
      <rPr>
        <b val="true"/>
        <sz val="16"/>
        <color rgb="FF0E5066"/>
        <rFont val="DejaVu Sans"/>
        <family val="2"/>
      </rPr>
      <t xml:space="preserve">方案 </t>
    </r>
    <r>
      <rPr>
        <b val="true"/>
        <sz val="16"/>
        <color rgb="FF0E5066"/>
        <rFont val="Microsoft JhengHei"/>
        <family val="0"/>
        <charset val="1"/>
      </rPr>
      <t xml:space="preserve">C — VOXEN + 3CX (</t>
    </r>
    <r>
      <rPr>
        <b val="true"/>
        <sz val="16"/>
        <color rgb="FF0E5066"/>
        <rFont val="DejaVu Sans"/>
        <family val="2"/>
      </rPr>
      <t xml:space="preserve">瑛聲推薦</t>
    </r>
    <r>
      <rPr>
        <b val="true"/>
        <sz val="16"/>
        <color rgb="FF0E5066"/>
        <rFont val="Microsoft JhengHei"/>
        <family val="0"/>
        <charset val="1"/>
      </rPr>
      <t xml:space="preserve">) (NTD,</t>
    </r>
    <r>
      <rPr>
        <b val="true"/>
        <sz val="16"/>
        <color rgb="FF0E5066"/>
        <rFont val="DejaVu Sans"/>
        <family val="2"/>
      </rPr>
      <t xml:space="preserve">千元</t>
    </r>
    <r>
      <rPr>
        <b val="true"/>
        <sz val="16"/>
        <color rgb="FF0E5066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</si>
  <si>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前提</t>
    </r>
    <r>
      <rPr>
        <i val="true"/>
        <sz val="9"/>
        <color rgb="FF666666"/>
        <rFont val="Microsoft JhengHei"/>
        <family val="0"/>
        <charset val="1"/>
      </rPr>
      <t xml:space="preserve">:Hybrid </t>
    </r>
    <r>
      <rPr>
        <i val="true"/>
        <sz val="9"/>
        <color rgb="FF666666"/>
        <rFont val="DejaVu Sans"/>
        <family val="2"/>
      </rPr>
      <t xml:space="preserve">授權 </t>
    </r>
    <r>
      <rPr>
        <i val="true"/>
        <sz val="9"/>
        <color rgb="FF666666"/>
        <rFont val="Microsoft JhengHei"/>
        <family val="0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核心 </t>
    </r>
    <r>
      <rPr>
        <i val="true"/>
        <sz val="9"/>
        <color rgb="FF666666"/>
        <rFont val="Microsoft JhengHei"/>
        <family val="0"/>
        <charset val="1"/>
      </rPr>
      <t xml:space="preserve">300 </t>
    </r>
    <r>
      <rPr>
        <i val="true"/>
        <sz val="9"/>
        <color rgb="FF666666"/>
        <rFont val="DejaVu Sans"/>
        <family val="2"/>
      </rPr>
      <t xml:space="preserve">席 </t>
    </r>
    <r>
      <rPr>
        <i val="true"/>
        <sz val="9"/>
        <color rgb="FF666666"/>
        <rFont val="Microsoft JhengHei"/>
        <family val="0"/>
        <charset val="1"/>
      </rPr>
      <t xml:space="preserve">PerSeat </t>
    </r>
    <r>
      <rPr>
        <i val="true"/>
        <sz val="9"/>
        <color rgb="FF666666"/>
        <rFont val="DejaVu Sans"/>
        <family val="2"/>
      </rPr>
      <t xml:space="preserve">永久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彈性 </t>
    </r>
    <r>
      <rPr>
        <i val="true"/>
        <sz val="9"/>
        <color rgb="FF666666"/>
        <rFont val="Microsoft JhengHei"/>
        <family val="0"/>
        <charset val="1"/>
      </rPr>
      <t xml:space="preserve">150 </t>
    </r>
    <r>
      <rPr>
        <i val="true"/>
        <sz val="9"/>
        <color rgb="FF666666"/>
        <rFont val="DejaVu Sans"/>
        <family val="2"/>
      </rPr>
      <t xml:space="preserve">席 </t>
    </r>
    <r>
      <rPr>
        <i val="true"/>
        <sz val="9"/>
        <color rgb="FF666666"/>
        <rFont val="Microsoft JhengHei"/>
        <family val="0"/>
        <charset val="1"/>
      </rPr>
      <t xml:space="preserve">PerYear)</t>
    </r>
    <r>
      <rPr>
        <i val="true"/>
        <sz val="9"/>
        <color rgb="FF666666"/>
        <rFont val="DejaVu Sans"/>
        <family val="2"/>
      </rPr>
      <t xml:space="preserve">。建置 </t>
    </r>
    <r>
      <rPr>
        <i val="true"/>
        <sz val="9"/>
        <color rgb="FF666666"/>
        <rFont val="Microsoft JhengHei"/>
        <family val="0"/>
        <charset val="1"/>
      </rPr>
      <t xml:space="preserve">6 </t>
    </r>
    <r>
      <rPr>
        <i val="true"/>
        <sz val="9"/>
        <color rgb="FF666666"/>
        <rFont val="DejaVu Sans"/>
        <family val="2"/>
      </rPr>
      <t xml:space="preserve">個月</t>
    </r>
    <r>
      <rPr>
        <i val="true"/>
        <sz val="9"/>
        <color rgb="FF666666"/>
        <rFont val="Microsoft JhengHei"/>
        <family val="0"/>
        <charset val="1"/>
      </rPr>
      <t xml:space="preserve">,Y1-Q3 </t>
    </r>
    <r>
      <rPr>
        <i val="true"/>
        <sz val="9"/>
        <color rgb="FF666666"/>
        <rFont val="DejaVu Sans"/>
        <family val="2"/>
      </rPr>
      <t xml:space="preserve">即上線</t>
    </r>
    <r>
      <rPr>
        <i val="true"/>
        <sz val="9"/>
        <color rgb="FF666666"/>
        <rFont val="Microsoft JhengHei"/>
        <family val="0"/>
        <charset val="1"/>
      </rPr>
      <t xml:space="preserve">,Y2 </t>
    </r>
    <r>
      <rPr>
        <i val="true"/>
        <sz val="9"/>
        <color rgb="FF666666"/>
        <rFont val="DejaVu Sans"/>
        <family val="2"/>
      </rPr>
      <t xml:space="preserve">起進入穩定維運。</t>
    </r>
  </si>
  <si>
    <r>
      <rPr>
        <sz val="10"/>
        <color rgb="FF000000"/>
        <rFont val="Microsoft JhengHei"/>
        <family val="0"/>
        <charset val="1"/>
      </rPr>
      <t xml:space="preserve">3CX PerSeat </t>
    </r>
    <r>
      <rPr>
        <sz val="10"/>
        <color rgb="FF000000"/>
        <rFont val="DejaVu Sans"/>
        <family val="2"/>
      </rPr>
      <t xml:space="preserve">永久授權 </t>
    </r>
    <r>
      <rPr>
        <sz val="10"/>
        <color rgb="FF000000"/>
        <rFont val="Microsoft JhengHei"/>
        <family val="0"/>
        <charset val="1"/>
      </rPr>
      <t xml:space="preserve">(300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</si>
  <si>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3CX PerYear </t>
    </r>
    <r>
      <rPr>
        <sz val="10"/>
        <color rgb="FF000000"/>
        <rFont val="DejaVu Sans"/>
        <family val="2"/>
      </rPr>
      <t xml:space="preserve">訂閱 </t>
    </r>
    <r>
      <rPr>
        <sz val="10"/>
        <color rgb="FF000000"/>
        <rFont val="Microsoft JhengHei"/>
        <family val="0"/>
        <charset val="1"/>
      </rPr>
      <t xml:space="preserve">(150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</si>
  <si>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3CX Premium Partner </t>
    </r>
    <r>
      <rPr>
        <sz val="10"/>
        <color rgb="FF000000"/>
        <rFont val="DejaVu Sans"/>
        <family val="2"/>
      </rPr>
      <t xml:space="preserve">加成</t>
    </r>
  </si>
  <si>
    <t xml:space="preserve">Source Code Escrow</t>
  </si>
  <si>
    <r>
      <rPr>
        <sz val="10"/>
        <color rgb="FF000000"/>
        <rFont val="DejaVu Sans"/>
        <family val="2"/>
      </rPr>
      <t xml:space="preserve">瑛聲建置服務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</si>
  <si>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Microsoft JhengHei"/>
        <family val="0"/>
        <charset val="1"/>
      </rPr>
      <t xml:space="preserve">OPEN/NAS </t>
    </r>
    <r>
      <rPr>
        <sz val="10"/>
        <color rgb="FF000000"/>
        <rFont val="DejaVu Sans"/>
        <family val="2"/>
      </rPr>
      <t xml:space="preserve">整合工時 </t>
    </r>
    <r>
      <rPr>
        <sz val="10"/>
        <color rgb="FF000000"/>
        <rFont val="Microsoft JhengHei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一次性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</si>
  <si>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瑛聲年度維護 </t>
    </r>
    <r>
      <rPr>
        <sz val="10"/>
        <color rgb="FF000000"/>
        <rFont val="Microsoft JhengHei"/>
        <family val="0"/>
        <charset val="1"/>
      </rPr>
      <t xml:space="preserve">L1+L2</t>
    </r>
  </si>
  <si>
    <r>
      <rPr>
        <b val="true"/>
        <sz val="11"/>
        <color rgb="FF27AE60"/>
        <rFont val="DejaVu Sans"/>
        <family val="2"/>
      </rPr>
      <t xml:space="preserve">【方案 </t>
    </r>
    <r>
      <rPr>
        <b val="true"/>
        <sz val="11"/>
        <color rgb="FF27AE60"/>
        <rFont val="Microsoft JhengHei"/>
        <family val="0"/>
        <charset val="1"/>
      </rPr>
      <t xml:space="preserve">C </t>
    </r>
    <r>
      <rPr>
        <b val="true"/>
        <sz val="11"/>
        <color rgb="FF27AE60"/>
        <rFont val="DejaVu Sans"/>
        <family val="2"/>
      </rPr>
      <t xml:space="preserve">優勢】</t>
    </r>
  </si>
  <si>
    <r>
      <rPr>
        <i val="true"/>
        <sz val="9"/>
        <color rgb="FF666666"/>
        <rFont val="Microsoft JhengHei"/>
        <family val="0"/>
        <charset val="1"/>
      </rPr>
      <t xml:space="preserve">1. Y0 </t>
    </r>
    <r>
      <rPr>
        <i val="true"/>
        <sz val="9"/>
        <color rgb="FF666666"/>
        <rFont val="DejaVu Sans"/>
        <family val="2"/>
      </rPr>
      <t xml:space="preserve">投資相對溫和</t>
    </r>
    <r>
      <rPr>
        <i val="true"/>
        <sz val="9"/>
        <color rgb="FF666666"/>
        <rFont val="Microsoft JhengHei"/>
        <family val="0"/>
        <charset val="1"/>
      </rPr>
      <t xml:space="preserve">,Y1 </t>
    </r>
    <r>
      <rPr>
        <i val="true"/>
        <sz val="9"/>
        <color rgb="FF666666"/>
        <rFont val="DejaVu Sans"/>
        <family val="2"/>
      </rPr>
      <t xml:space="preserve">即可 </t>
    </r>
    <r>
      <rPr>
        <i val="true"/>
        <sz val="9"/>
        <color rgb="FF666666"/>
        <rFont val="Microsoft JhengHei"/>
        <family val="0"/>
        <charset val="1"/>
      </rPr>
      <t xml:space="preserve">Go-live (</t>
    </r>
    <r>
      <rPr>
        <i val="true"/>
        <sz val="9"/>
        <color rgb="FF666666"/>
        <rFont val="DejaVu Sans"/>
        <family val="2"/>
      </rPr>
      <t xml:space="preserve">對齊 </t>
    </r>
    <r>
      <rPr>
        <i val="true"/>
        <sz val="9"/>
        <color rgb="FF666666"/>
        <rFont val="Microsoft JhengHei"/>
        <family val="0"/>
        <charset val="1"/>
      </rPr>
      <t xml:space="preserve">Genesys 11/01 EOL)</t>
    </r>
  </si>
  <si>
    <r>
      <rPr>
        <i val="true"/>
        <sz val="9"/>
        <color rgb="FF666666"/>
        <rFont val="Microsoft JhengHei"/>
        <family val="0"/>
        <charset val="1"/>
      </rPr>
      <t xml:space="preserve">2. Hybrid </t>
    </r>
    <r>
      <rPr>
        <i val="true"/>
        <sz val="9"/>
        <color rgb="FF666666"/>
        <rFont val="DejaVu Sans"/>
        <family val="2"/>
      </rPr>
      <t xml:space="preserve">授權給予「核心穩定 </t>
    </r>
    <r>
      <rPr>
        <i val="true"/>
        <sz val="9"/>
        <color rgb="FF666666"/>
        <rFont val="Microsoft JhengHei"/>
        <family val="0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彈性擴充」的雙重彈性</t>
    </r>
  </si>
  <si>
    <r>
      <rPr>
        <i val="true"/>
        <sz val="9"/>
        <color rgb="FF666666"/>
        <rFont val="Microsoft JhengHei"/>
        <family val="0"/>
        <charset val="1"/>
      </rPr>
      <t xml:space="preserve">3. Source Code Escrow </t>
    </r>
    <r>
      <rPr>
        <i val="true"/>
        <sz val="9"/>
        <color rgb="FF666666"/>
        <rFont val="DejaVu Sans"/>
        <family val="2"/>
      </rPr>
      <t xml:space="preserve">解決 </t>
    </r>
    <r>
      <rPr>
        <i val="true"/>
        <sz val="9"/>
        <color rgb="FF666666"/>
        <rFont val="Microsoft JhengHei"/>
        <family val="0"/>
        <charset val="1"/>
      </rPr>
      <t xml:space="preserve">vendor lock-in </t>
    </r>
    <r>
      <rPr>
        <i val="true"/>
        <sz val="9"/>
        <color rgb="FF666666"/>
        <rFont val="DejaVu Sans"/>
        <family val="2"/>
      </rPr>
      <t xml:space="preserve">顧慮</t>
    </r>
  </si>
  <si>
    <r>
      <rPr>
        <i val="true"/>
        <sz val="9"/>
        <color rgb="FF666666"/>
        <rFont val="Microsoft JhengHei"/>
        <family val="0"/>
        <charset val="1"/>
      </rPr>
      <t xml:space="preserve">4. </t>
    </r>
    <r>
      <rPr>
        <i val="true"/>
        <sz val="9"/>
        <color rgb="FF666666"/>
        <rFont val="DejaVu Sans"/>
        <family val="2"/>
      </rPr>
      <t xml:space="preserve">瑛聲 </t>
    </r>
    <r>
      <rPr>
        <i val="true"/>
        <sz val="9"/>
        <color rgb="FF666666"/>
        <rFont val="Microsoft JhengHei"/>
        <family val="0"/>
        <charset val="1"/>
      </rPr>
      <t xml:space="preserve">Premium Partner </t>
    </r>
    <r>
      <rPr>
        <i val="true"/>
        <sz val="9"/>
        <color rgb="FF666666"/>
        <rFont val="DejaVu Sans"/>
        <family val="2"/>
      </rPr>
      <t xml:space="preserve">提供單點責任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玉山不需管多 </t>
    </r>
    <r>
      <rPr>
        <i val="true"/>
        <sz val="9"/>
        <color rgb="FF666666"/>
        <rFont val="Microsoft JhengHei"/>
        <family val="0"/>
        <charset val="1"/>
      </rPr>
      <t xml:space="preserve">vendor</t>
    </r>
  </si>
  <si>
    <r>
      <rPr>
        <i val="true"/>
        <sz val="9"/>
        <color rgb="FF666666"/>
        <rFont val="Microsoft JhengHei"/>
        <family val="0"/>
        <charset val="1"/>
      </rPr>
      <t xml:space="preserve">5. 5 </t>
    </r>
    <r>
      <rPr>
        <i val="true"/>
        <sz val="9"/>
        <color rgb="FF666666"/>
        <rFont val="DejaVu Sans"/>
        <family val="2"/>
      </rPr>
      <t xml:space="preserve">年 </t>
    </r>
    <r>
      <rPr>
        <i val="true"/>
        <sz val="9"/>
        <color rgb="FF666666"/>
        <rFont val="Microsoft JhengHei"/>
        <family val="0"/>
        <charset val="1"/>
      </rPr>
      <t xml:space="preserve">TCO </t>
    </r>
    <r>
      <rPr>
        <i val="true"/>
        <sz val="9"/>
        <color rgb="FF666666"/>
        <rFont val="DejaVu Sans"/>
        <family val="2"/>
      </rPr>
      <t xml:space="preserve">是三方案中最低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且風險最小</t>
    </r>
  </si>
  <si>
    <r>
      <rPr>
        <b val="true"/>
        <sz val="18"/>
        <color rgb="FF0E5066"/>
        <rFont val="DejaVu Sans"/>
        <family val="2"/>
      </rPr>
      <t xml:space="preserve">三方案對照總表 </t>
    </r>
    <r>
      <rPr>
        <b val="true"/>
        <sz val="18"/>
        <color rgb="FF0E5066"/>
        <rFont val="Microsoft JhengHei"/>
        <family val="0"/>
        <charset val="1"/>
      </rPr>
      <t xml:space="preserve">(NTD)</t>
    </r>
  </si>
  <si>
    <t xml:space="preserve">所有數字皆動態連結各方案工作表 — 修改假設參數會自動重算</t>
  </si>
  <si>
    <t xml:space="preserve">方案</t>
  </si>
  <si>
    <t xml:space="preserve">Y0</t>
  </si>
  <si>
    <r>
      <rPr>
        <b val="true"/>
        <sz val="11"/>
        <color rgb="FFFFFFFF"/>
        <rFont val="Microsoft JhengHei"/>
        <family val="0"/>
        <charset val="1"/>
      </rPr>
      <t xml:space="preserve">5 </t>
    </r>
    <r>
      <rPr>
        <b val="true"/>
        <sz val="11"/>
        <color rgb="FFFFFFFF"/>
        <rFont val="DejaVu Sans"/>
        <family val="2"/>
      </rPr>
      <t xml:space="preserve">年 </t>
    </r>
    <r>
      <rPr>
        <b val="true"/>
        <sz val="11"/>
        <color rgb="FFFFFFFF"/>
        <rFont val="Microsoft JhengHei"/>
        <family val="0"/>
        <charset val="1"/>
      </rPr>
      <t xml:space="preserve">TCO</t>
    </r>
  </si>
  <si>
    <r>
      <rPr>
        <b val="true"/>
        <sz val="11"/>
        <color rgb="FFFFFFFF"/>
        <rFont val="DejaVu Sans"/>
        <family val="2"/>
      </rPr>
      <t xml:space="preserve">方案 </t>
    </r>
    <r>
      <rPr>
        <b val="true"/>
        <sz val="11"/>
        <color rgb="FFFFFFFF"/>
        <rFont val="Microsoft JhengHei"/>
        <family val="0"/>
        <charset val="1"/>
      </rPr>
      <t xml:space="preserve">A: </t>
    </r>
    <r>
      <rPr>
        <b val="true"/>
        <sz val="11"/>
        <color rgb="FFFFFFFF"/>
        <rFont val="DejaVu Sans"/>
        <family val="2"/>
      </rPr>
      <t xml:space="preserve">續用 </t>
    </r>
    <r>
      <rPr>
        <b val="true"/>
        <sz val="11"/>
        <color rgb="FFFFFFFF"/>
        <rFont val="Microsoft JhengHei"/>
        <family val="0"/>
        <charset val="1"/>
      </rPr>
      <t xml:space="preserve">Genesys</t>
    </r>
  </si>
  <si>
    <r>
      <rPr>
        <b val="true"/>
        <sz val="11"/>
        <color rgb="FFFFFFFF"/>
        <rFont val="DejaVu Sans"/>
        <family val="2"/>
      </rPr>
      <t xml:space="preserve">方案 </t>
    </r>
    <r>
      <rPr>
        <b val="true"/>
        <sz val="11"/>
        <color rgb="FFFFFFFF"/>
        <rFont val="Microsoft JhengHei"/>
        <family val="0"/>
        <charset val="1"/>
      </rPr>
      <t xml:space="preserve">B: </t>
    </r>
    <r>
      <rPr>
        <b val="true"/>
        <sz val="11"/>
        <color rgb="FFFFFFFF"/>
        <rFont val="DejaVu Sans"/>
        <family val="2"/>
      </rPr>
      <t xml:space="preserve">自建 </t>
    </r>
    <r>
      <rPr>
        <b val="true"/>
        <sz val="11"/>
        <color rgb="FFFFFFFF"/>
        <rFont val="Microsoft JhengHei"/>
        <family val="0"/>
        <charset val="1"/>
      </rPr>
      <t xml:space="preserve">PBX</t>
    </r>
  </si>
  <si>
    <r>
      <rPr>
        <b val="true"/>
        <sz val="11"/>
        <color rgb="FFFFFFFF"/>
        <rFont val="DejaVu Sans"/>
        <family val="2"/>
      </rPr>
      <t xml:space="preserve">方案 </t>
    </r>
    <r>
      <rPr>
        <b val="true"/>
        <sz val="11"/>
        <color rgb="FFFFFFFF"/>
        <rFont val="Microsoft JhengHei"/>
        <family val="0"/>
        <charset val="1"/>
      </rPr>
      <t xml:space="preserve">C: VOXEN+3CX (</t>
    </r>
    <r>
      <rPr>
        <b val="true"/>
        <sz val="11"/>
        <color rgb="FFFFFFFF"/>
        <rFont val="DejaVu Sans"/>
        <family val="2"/>
      </rPr>
      <t xml:space="preserve">推薦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</si>
  <si>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0"/>
        <color rgb="FF0E5066"/>
        <rFont val="Microsoft JhengHei"/>
        <family val="0"/>
        <charset val="1"/>
      </rPr>
      <t xml:space="preserve">Δ vs </t>
    </r>
    <r>
      <rPr>
        <b val="true"/>
        <sz val="10"/>
        <color rgb="FF0E5066"/>
        <rFont val="DejaVu Sans"/>
        <family val="2"/>
      </rPr>
      <t xml:space="preserve">方案 </t>
    </r>
    <r>
      <rPr>
        <b val="true"/>
        <sz val="10"/>
        <color rgb="FF0E5066"/>
        <rFont val="Microsoft JhengHei"/>
        <family val="0"/>
        <charset val="1"/>
      </rPr>
      <t xml:space="preserve">C (</t>
    </r>
    <r>
      <rPr>
        <b val="true"/>
        <sz val="10"/>
        <color rgb="FF0E5066"/>
        <rFont val="DejaVu Sans"/>
        <family val="2"/>
      </rPr>
      <t xml:space="preserve">省 </t>
    </r>
    <r>
      <rPr>
        <b val="true"/>
        <sz val="10"/>
        <color rgb="FF0E5066"/>
        <rFont val="Microsoft JhengHei"/>
        <family val="0"/>
        <charset val="1"/>
      </rPr>
      <t xml:space="preserve">/ </t>
    </r>
    <r>
      <rPr>
        <b val="true"/>
        <sz val="10"/>
        <color rgb="FF0E5066"/>
        <rFont val="DejaVu Sans"/>
        <family val="2"/>
      </rPr>
      <t xml:space="preserve">多花</t>
    </r>
    <r>
      <rPr>
        <b val="true"/>
        <sz val="10"/>
        <color rgb="FF0E5066"/>
        <rFont val="Microsoft JhengHei"/>
        <family val="0"/>
        <charset val="1"/>
      </rPr>
      <t xml:space="preserve">)</t>
    </r>
  </si>
  <si>
    <r>
      <rPr>
        <b val="true"/>
        <sz val="10"/>
        <color rgb="FF0E5066"/>
        <rFont val="Microsoft JhengHei"/>
        <family val="0"/>
        <charset val="1"/>
      </rPr>
      <t xml:space="preserve">Δ vs </t>
    </r>
    <r>
      <rPr>
        <b val="true"/>
        <sz val="10"/>
        <color rgb="FF0E5066"/>
        <rFont val="DejaVu Sans"/>
        <family val="2"/>
      </rPr>
      <t xml:space="preserve">方案 </t>
    </r>
    <r>
      <rPr>
        <b val="true"/>
        <sz val="10"/>
        <color rgb="FF0E5066"/>
        <rFont val="Microsoft JhengHei"/>
        <family val="0"/>
        <charset val="1"/>
      </rPr>
      <t xml:space="preserve">C (B - C)</t>
    </r>
  </si>
  <si>
    <t xml:space="preserve">【結論摘要】</t>
  </si>
  <si>
    <r>
      <rPr>
        <sz val="10"/>
        <color rgb="FF1A2530"/>
        <rFont val="DejaVu Sans"/>
        <family val="2"/>
      </rPr>
      <t xml:space="preserve">• 方案 </t>
    </r>
    <r>
      <rPr>
        <sz val="10"/>
        <color rgb="FF1A2530"/>
        <rFont val="Microsoft JhengHei"/>
        <family val="0"/>
        <charset val="1"/>
      </rPr>
      <t xml:space="preserve">C (VOXEN+3CX) </t>
    </r>
    <r>
      <rPr>
        <sz val="10"/>
        <color rgb="FF1A2530"/>
        <rFont val="DejaVu Sans"/>
        <family val="2"/>
      </rPr>
      <t xml:space="preserve">在 </t>
    </r>
    <r>
      <rPr>
        <sz val="10"/>
        <color rgb="FF1A2530"/>
        <rFont val="Microsoft JhengHei"/>
        <family val="0"/>
        <charset val="1"/>
      </rPr>
      <t xml:space="preserve">5 </t>
    </r>
    <r>
      <rPr>
        <sz val="10"/>
        <color rgb="FF1A2530"/>
        <rFont val="DejaVu Sans"/>
        <family val="2"/>
      </rPr>
      <t xml:space="preserve">年 </t>
    </r>
    <r>
      <rPr>
        <sz val="10"/>
        <color rgb="FF1A2530"/>
        <rFont val="Microsoft JhengHei"/>
        <family val="0"/>
        <charset val="1"/>
      </rPr>
      <t xml:space="preserve">TCO </t>
    </r>
    <r>
      <rPr>
        <sz val="10"/>
        <color rgb="FF1A2530"/>
        <rFont val="DejaVu Sans"/>
        <family val="2"/>
      </rPr>
      <t xml:space="preserve">為三方案中最低</t>
    </r>
    <r>
      <rPr>
        <sz val="10"/>
        <color rgb="FF1A2530"/>
        <rFont val="Microsoft JhengHei"/>
        <family val="0"/>
        <charset val="1"/>
      </rPr>
      <t xml:space="preserve">,</t>
    </r>
    <r>
      <rPr>
        <sz val="10"/>
        <color rgb="FF1A2530"/>
        <rFont val="DejaVu Sans"/>
        <family val="2"/>
      </rPr>
      <t xml:space="preserve">且風險最小</t>
    </r>
  </si>
  <si>
    <r>
      <rPr>
        <sz val="10"/>
        <color rgb="FF1A2530"/>
        <rFont val="DejaVu Sans"/>
        <family val="2"/>
      </rPr>
      <t xml:space="preserve">• 方案 </t>
    </r>
    <r>
      <rPr>
        <sz val="10"/>
        <color rgb="FF1A2530"/>
        <rFont val="Microsoft JhengHei"/>
        <family val="0"/>
        <charset val="1"/>
      </rPr>
      <t xml:space="preserve">A (</t>
    </r>
    <r>
      <rPr>
        <sz val="10"/>
        <color rgb="FF1A2530"/>
        <rFont val="DejaVu Sans"/>
        <family val="2"/>
      </rPr>
      <t xml:space="preserve">續 </t>
    </r>
    <r>
      <rPr>
        <sz val="10"/>
        <color rgb="FF1A2530"/>
        <rFont val="Microsoft JhengHei"/>
        <family val="0"/>
        <charset val="1"/>
      </rPr>
      <t xml:space="preserve">Genesys) </t>
    </r>
    <r>
      <rPr>
        <sz val="10"/>
        <color rgb="FF1A2530"/>
        <rFont val="DejaVu Sans"/>
        <family val="2"/>
      </rPr>
      <t xml:space="preserve">短期看似最低</t>
    </r>
    <r>
      <rPr>
        <sz val="10"/>
        <color rgb="FF1A2530"/>
        <rFont val="Microsoft JhengHei"/>
        <family val="0"/>
        <charset val="1"/>
      </rPr>
      <t xml:space="preserve">,</t>
    </r>
    <r>
      <rPr>
        <sz val="10"/>
        <color rgb="FF1A2530"/>
        <rFont val="DejaVu Sans"/>
        <family val="2"/>
      </rPr>
      <t xml:space="preserve">但 </t>
    </r>
    <r>
      <rPr>
        <sz val="10"/>
        <color rgb="FF1A2530"/>
        <rFont val="Microsoft JhengHei"/>
        <family val="0"/>
        <charset val="1"/>
      </rPr>
      <t xml:space="preserve">Y3 </t>
    </r>
    <r>
      <rPr>
        <sz val="10"/>
        <color rgb="FF1A2530"/>
        <rFont val="DejaVu Sans"/>
        <family val="2"/>
      </rPr>
      <t xml:space="preserve">強迫升級會帶入新成本與遷移風險</t>
    </r>
  </si>
  <si>
    <r>
      <rPr>
        <sz val="10"/>
        <color rgb="FF1A2530"/>
        <rFont val="DejaVu Sans"/>
        <family val="2"/>
      </rPr>
      <t xml:space="preserve">• 方案 </t>
    </r>
    <r>
      <rPr>
        <sz val="10"/>
        <color rgb="FF1A2530"/>
        <rFont val="Microsoft JhengHei"/>
        <family val="0"/>
        <charset val="1"/>
      </rPr>
      <t xml:space="preserve">B (</t>
    </r>
    <r>
      <rPr>
        <sz val="10"/>
        <color rgb="FF1A2530"/>
        <rFont val="DejaVu Sans"/>
        <family val="2"/>
      </rPr>
      <t xml:space="preserve">自建</t>
    </r>
    <r>
      <rPr>
        <sz val="10"/>
        <color rgb="FF1A2530"/>
        <rFont val="Microsoft JhengHei"/>
        <family val="0"/>
        <charset val="1"/>
      </rPr>
      <t xml:space="preserve">) </t>
    </r>
    <r>
      <rPr>
        <sz val="10"/>
        <color rgb="FF1A2530"/>
        <rFont val="DejaVu Sans"/>
        <family val="2"/>
      </rPr>
      <t xml:space="preserve">帳面看起來能省授權費</t>
    </r>
    <r>
      <rPr>
        <sz val="10"/>
        <color rgb="FF1A2530"/>
        <rFont val="Microsoft JhengHei"/>
        <family val="0"/>
        <charset val="1"/>
      </rPr>
      <t xml:space="preserve">,</t>
    </r>
    <r>
      <rPr>
        <sz val="10"/>
        <color rgb="FF1A2530"/>
        <rFont val="DejaVu Sans"/>
        <family val="2"/>
      </rPr>
      <t xml:space="preserve">但開發 </t>
    </r>
    <r>
      <rPr>
        <sz val="10"/>
        <color rgb="FF1A2530"/>
        <rFont val="Microsoft JhengHei"/>
        <family val="0"/>
        <charset val="1"/>
      </rPr>
      <t xml:space="preserve">+ </t>
    </r>
    <r>
      <rPr>
        <sz val="10"/>
        <color rgb="FF1A2530"/>
        <rFont val="DejaVu Sans"/>
        <family val="2"/>
      </rPr>
      <t xml:space="preserve">維運 </t>
    </r>
    <r>
      <rPr>
        <sz val="10"/>
        <color rgb="FF1A2530"/>
        <rFont val="Microsoft JhengHei"/>
        <family val="0"/>
        <charset val="1"/>
      </rPr>
      <t xml:space="preserve">+ </t>
    </r>
    <r>
      <rPr>
        <sz val="10"/>
        <color rgb="FF1A2530"/>
        <rFont val="DejaVu Sans"/>
        <family val="2"/>
      </rPr>
      <t xml:space="preserve">風險加總後通常 </t>
    </r>
    <r>
      <rPr>
        <sz val="10"/>
        <color rgb="FF1A2530"/>
        <rFont val="Microsoft JhengHei"/>
        <family val="0"/>
        <charset val="1"/>
      </rPr>
      <t xml:space="preserve">2-3 </t>
    </r>
    <r>
      <rPr>
        <sz val="10"/>
        <color rgb="FF1A2530"/>
        <rFont val="DejaVu Sans"/>
        <family val="2"/>
      </rPr>
      <t xml:space="preserve">倍於 </t>
    </r>
    <r>
      <rPr>
        <sz val="10"/>
        <color rgb="FF1A2530"/>
        <rFont val="Microsoft JhengHei"/>
        <family val="0"/>
        <charset val="1"/>
      </rPr>
      <t xml:space="preserve">C</t>
    </r>
  </si>
  <si>
    <r>
      <rPr>
        <sz val="10"/>
        <color rgb="FF1A2530"/>
        <rFont val="DejaVu Sans"/>
        <family val="2"/>
      </rPr>
      <t xml:space="preserve">• 玉山真正在意的不只是「總價」</t>
    </r>
    <r>
      <rPr>
        <sz val="10"/>
        <color rgb="FF1A2530"/>
        <rFont val="Microsoft JhengHei"/>
        <family val="0"/>
        <charset val="1"/>
      </rPr>
      <t xml:space="preserve">,</t>
    </r>
    <r>
      <rPr>
        <sz val="10"/>
        <color rgb="FF1A2530"/>
        <rFont val="DejaVu Sans"/>
        <family val="2"/>
      </rPr>
      <t xml:space="preserve">還有「不可預期支出的風險」— 方案 </t>
    </r>
    <r>
      <rPr>
        <sz val="10"/>
        <color rgb="FF1A2530"/>
        <rFont val="Microsoft JhengHei"/>
        <family val="0"/>
        <charset val="1"/>
      </rPr>
      <t xml:space="preserve">C </t>
    </r>
    <r>
      <rPr>
        <sz val="10"/>
        <color rgb="FF1A2530"/>
        <rFont val="DejaVu Sans"/>
        <family val="2"/>
      </rPr>
      <t xml:space="preserve">的 </t>
    </r>
    <r>
      <rPr>
        <sz val="10"/>
        <color rgb="FF1A2530"/>
        <rFont val="Microsoft JhengHei"/>
        <family val="0"/>
        <charset val="1"/>
      </rPr>
      <t xml:space="preserve">buffer </t>
    </r>
    <r>
      <rPr>
        <sz val="10"/>
        <color rgb="FF1A2530"/>
        <rFont val="DejaVu Sans"/>
        <family val="2"/>
      </rPr>
      <t xml:space="preserve">與保險</t>
    </r>
    <r>
      <rPr>
        <sz val="10"/>
        <color rgb="FF1A2530"/>
        <rFont val="Microsoft JhengHei"/>
        <family val="0"/>
        <charset val="1"/>
      </rPr>
      <t xml:space="preserve">(Escrow)</t>
    </r>
    <r>
      <rPr>
        <sz val="10"/>
        <color rgb="FF1A2530"/>
        <rFont val="DejaVu Sans"/>
        <family val="2"/>
      </rPr>
      <t xml:space="preserve">最完整</t>
    </r>
  </si>
  <si>
    <r>
      <rPr>
        <i val="true"/>
        <sz val="10"/>
        <color rgb="FF1A2530"/>
        <rFont val="DejaVu Sans"/>
        <family val="2"/>
      </rPr>
      <t xml:space="preserve">【務必告知玉山】此試算為瑛聲內部預估</t>
    </r>
    <r>
      <rPr>
        <i val="true"/>
        <sz val="10"/>
        <color rgb="FF1A2530"/>
        <rFont val="Microsoft JhengHei"/>
        <family val="0"/>
        <charset val="1"/>
      </rPr>
      <t xml:space="preserve">,</t>
    </r>
    <r>
      <rPr>
        <i val="true"/>
        <sz val="10"/>
        <color rgb="FF1A2530"/>
        <rFont val="DejaVu Sans"/>
        <family val="2"/>
      </rPr>
      <t xml:space="preserve">所有數字假設均可調整</t>
    </r>
    <r>
      <rPr>
        <i val="true"/>
        <sz val="10"/>
        <color rgb="FF1A2530"/>
        <rFont val="Microsoft JhengHei"/>
        <family val="0"/>
        <charset val="1"/>
      </rPr>
      <t xml:space="preserve">,</t>
    </r>
    <r>
      <rPr>
        <i val="true"/>
        <sz val="10"/>
        <color rgb="FF1A2530"/>
        <rFont val="DejaVu Sans"/>
        <family val="2"/>
      </rPr>
      <t xml:space="preserve">正式報價以 </t>
    </r>
    <r>
      <rPr>
        <i val="true"/>
        <sz val="10"/>
        <color rgb="FF1A2530"/>
        <rFont val="Microsoft JhengHei"/>
        <family val="0"/>
        <charset val="1"/>
      </rPr>
      <t xml:space="preserve">NDA </t>
    </r>
    <r>
      <rPr>
        <i val="true"/>
        <sz val="10"/>
        <color rgb="FF1A2530"/>
        <rFont val="DejaVu Sans"/>
        <family val="2"/>
      </rPr>
      <t xml:space="preserve">後合約為準。</t>
    </r>
  </si>
  <si>
    <r>
      <rPr>
        <b val="true"/>
        <sz val="14"/>
        <color rgb="FF0E5066"/>
        <rFont val="DejaVu Sans"/>
        <family val="2"/>
      </rPr>
      <t xml:space="preserve">敏感性分析 — 方案 </t>
    </r>
    <r>
      <rPr>
        <b val="true"/>
        <sz val="14"/>
        <color rgb="FF0E5066"/>
        <rFont val="Microsoft JhengHei"/>
        <family val="0"/>
        <charset val="1"/>
      </rPr>
      <t xml:space="preserve">C </t>
    </r>
    <r>
      <rPr>
        <b val="true"/>
        <sz val="14"/>
        <color rgb="FF0E5066"/>
        <rFont val="DejaVu Sans"/>
        <family val="2"/>
      </rPr>
      <t xml:space="preserve">在不同假設下的 </t>
    </r>
    <r>
      <rPr>
        <b val="true"/>
        <sz val="14"/>
        <color rgb="FF0E5066"/>
        <rFont val="Microsoft JhengHei"/>
        <family val="0"/>
        <charset val="1"/>
      </rPr>
      <t xml:space="preserve">5 </t>
    </r>
    <r>
      <rPr>
        <b val="true"/>
        <sz val="14"/>
        <color rgb="FF0E5066"/>
        <rFont val="DejaVu Sans"/>
        <family val="2"/>
      </rPr>
      <t xml:space="preserve">年 </t>
    </r>
    <r>
      <rPr>
        <b val="true"/>
        <sz val="14"/>
        <color rgb="FF0E5066"/>
        <rFont val="Microsoft JhengHei"/>
        <family val="0"/>
        <charset val="1"/>
      </rPr>
      <t xml:space="preserve">TCO</t>
    </r>
  </si>
  <si>
    <r>
      <rPr>
        <i val="true"/>
        <sz val="9"/>
        <color rgb="FF666666"/>
        <rFont val="DejaVu Sans"/>
        <family val="2"/>
      </rPr>
      <t xml:space="preserve">提供玉山做議價場景的「</t>
    </r>
    <r>
      <rPr>
        <i val="true"/>
        <sz val="9"/>
        <color rgb="FF666666"/>
        <rFont val="Microsoft JhengHei"/>
        <family val="0"/>
        <charset val="1"/>
      </rPr>
      <t xml:space="preserve">what-if</t>
    </r>
    <r>
      <rPr>
        <i val="true"/>
        <sz val="9"/>
        <color rgb="FF666666"/>
        <rFont val="DejaVu Sans"/>
        <family val="2"/>
      </rPr>
      <t xml:space="preserve">」分析</t>
    </r>
    <r>
      <rPr>
        <i val="true"/>
        <sz val="9"/>
        <color rgb="FF666666"/>
        <rFont val="Microsoft JhengHei"/>
        <family val="0"/>
        <charset val="1"/>
      </rPr>
      <t xml:space="preserve">:</t>
    </r>
    <r>
      <rPr>
        <i val="true"/>
        <sz val="9"/>
        <color rgb="FF666666"/>
        <rFont val="DejaVu Sans"/>
        <family val="2"/>
      </rPr>
      <t xml:space="preserve">座席數、授權單價、人月費率變動會如何影響 </t>
    </r>
    <r>
      <rPr>
        <i val="true"/>
        <sz val="9"/>
        <color rgb="FF666666"/>
        <rFont val="Microsoft JhengHei"/>
        <family val="0"/>
        <charset val="1"/>
      </rPr>
      <t xml:space="preserve">TCO</t>
    </r>
  </si>
  <si>
    <t xml:space="preserve">情境</t>
  </si>
  <si>
    <t xml:space="preserve">參數變動</t>
  </si>
  <si>
    <r>
      <rPr>
        <b val="true"/>
        <sz val="11"/>
        <color rgb="FFFFFFFF"/>
        <rFont val="Microsoft JhengHei"/>
        <family val="0"/>
        <charset val="1"/>
      </rPr>
      <t xml:space="preserve">5 </t>
    </r>
    <r>
      <rPr>
        <b val="true"/>
        <sz val="11"/>
        <color rgb="FFFFFFFF"/>
        <rFont val="DejaVu Sans"/>
        <family val="2"/>
      </rPr>
      <t xml:space="preserve">年 </t>
    </r>
    <r>
      <rPr>
        <b val="true"/>
        <sz val="11"/>
        <color rgb="FFFFFFFF"/>
        <rFont val="Microsoft JhengHei"/>
        <family val="0"/>
        <charset val="1"/>
      </rPr>
      <t xml:space="preserve">TCO (</t>
    </r>
    <r>
      <rPr>
        <b val="true"/>
        <sz val="11"/>
        <color rgb="FFFFFFFF"/>
        <rFont val="DejaVu Sans"/>
        <family val="2"/>
      </rPr>
      <t xml:space="preserve">預估 </t>
    </r>
    <r>
      <rPr>
        <b val="true"/>
        <sz val="11"/>
        <color rgb="FFFFFFFF"/>
        <rFont val="Microsoft JhengHei"/>
        <family val="0"/>
        <charset val="1"/>
      </rPr>
      <t xml:space="preserve">NTD)</t>
    </r>
  </si>
  <si>
    <t xml:space="preserve">對基準的差額</t>
  </si>
  <si>
    <t xml:space="preserve">Δ %</t>
  </si>
  <si>
    <t xml:space="preserve">基準情境</t>
  </si>
  <si>
    <t xml:space="preserve">依工作表「假設與參數」所設</t>
  </si>
  <si>
    <r>
      <rPr>
        <sz val="10"/>
        <color rgb="FF000000"/>
        <rFont val="DejaVu Sans"/>
        <family val="2"/>
      </rPr>
      <t xml:space="preserve">座席擴增 </t>
    </r>
    <r>
      <rPr>
        <sz val="10"/>
        <color rgb="FF000000"/>
        <rFont val="Microsoft JhengHei"/>
        <family val="0"/>
        <charset val="1"/>
      </rPr>
      <t xml:space="preserve">+20% (540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</si>
  <si>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SEATS × 1.2</t>
  </si>
  <si>
    <r>
      <rPr>
        <sz val="10"/>
        <color rgb="FF000000"/>
        <rFont val="DejaVu Sans"/>
        <family val="2"/>
      </rPr>
      <t xml:space="preserve">座席收縮 </t>
    </r>
    <r>
      <rPr>
        <sz val="10"/>
        <color rgb="FF000000"/>
        <rFont val="Microsoft JhengHei"/>
        <family val="0"/>
        <charset val="1"/>
      </rPr>
      <t xml:space="preserve">-20% (360 </t>
    </r>
    <r>
      <rPr>
        <sz val="10"/>
        <color rgb="FF000000"/>
        <rFont val="DejaVu Sans"/>
        <family val="2"/>
      </rPr>
      <t xml:space="preserve">席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</si>
  <si>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SEATS × 0.8</t>
  </si>
  <si>
    <r>
      <rPr>
        <sz val="10"/>
        <color rgb="FF000000"/>
        <rFont val="Microsoft JhengHei"/>
        <family val="0"/>
        <charset val="1"/>
      </rPr>
      <t xml:space="preserve">License </t>
    </r>
    <r>
      <rPr>
        <sz val="10"/>
        <color rgb="FF000000"/>
        <rFont val="DejaVu Sans"/>
        <family val="2"/>
      </rPr>
      <t xml:space="preserve">通膨 </t>
    </r>
    <r>
      <rPr>
        <sz val="10"/>
        <color rgb="FF000000"/>
        <rFont val="Microsoft JhengHei"/>
        <family val="0"/>
        <charset val="1"/>
      </rPr>
      <t xml:space="preserve">+50% (</t>
    </r>
    <r>
      <rPr>
        <sz val="10"/>
        <color rgb="FF000000"/>
        <rFont val="DejaVu Sans"/>
        <family val="2"/>
      </rPr>
      <t xml:space="preserve">年增 </t>
    </r>
    <r>
      <rPr>
        <sz val="10"/>
        <color rgb="FF000000"/>
        <rFont val="Microsoft JhengHei"/>
        <family val="0"/>
        <charset val="1"/>
      </rPr>
      <t xml:space="preserve">3%)</t>
    </r>
  </si>
  <si>
    <t xml:space="preserve">INFL_LICENSE × 1.5</t>
  </si>
  <si>
    <r>
      <rPr>
        <sz val="10"/>
        <color rgb="FF000000"/>
        <rFont val="DejaVu Sans"/>
        <family val="2"/>
      </rPr>
      <t xml:space="preserve">人月費率 </t>
    </r>
    <r>
      <rPr>
        <sz val="10"/>
        <color rgb="FF000000"/>
        <rFont val="Microsoft JhengHei"/>
        <family val="0"/>
        <charset val="1"/>
      </rPr>
      <t xml:space="preserve">+20% (</t>
    </r>
    <r>
      <rPr>
        <sz val="10"/>
        <color rgb="FF000000"/>
        <rFont val="DejaVu Sans"/>
        <family val="2"/>
      </rPr>
      <t xml:space="preserve">台幣升值</t>
    </r>
    <r>
      <rPr>
        <sz val="10"/>
        <color rgb="FF000000"/>
        <rFont val="Microsoft JhengHei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通膨</t>
    </r>
    <r>
      <rPr>
        <sz val="10"/>
        <color rgb="FF000000"/>
        <rFont val="Microsoft JhengHei"/>
        <family val="0"/>
        <charset val="1"/>
      </rPr>
      <t xml:space="preserve">)</t>
    </r>
  </si>
  <si>
    <t xml:space="preserve">BUILD_RATE × 1.2</t>
  </si>
  <si>
    <r>
      <rPr>
        <sz val="10"/>
        <color rgb="FF000000"/>
        <rFont val="Microsoft JhengHei"/>
        <family val="0"/>
        <charset val="1"/>
      </rPr>
      <t xml:space="preserve">Escrow </t>
    </r>
    <r>
      <rPr>
        <sz val="10"/>
        <color rgb="FF000000"/>
        <rFont val="DejaVu Sans"/>
        <family val="2"/>
      </rPr>
      <t xml:space="preserve">高階方案 </t>
    </r>
    <r>
      <rPr>
        <sz val="10"/>
        <color rgb="FF000000"/>
        <rFont val="Microsoft JhengHei"/>
        <family val="0"/>
        <charset val="1"/>
      </rPr>
      <t xml:space="preserve">(+200K/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</si>
  <si>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Microsoft JhengHei"/>
        <family val="0"/>
        <charset val="1"/>
      </rPr>
      <t xml:space="preserve">+ NTD 200K/</t>
    </r>
    <r>
      <rPr>
        <i val="true"/>
        <sz val="9"/>
        <color rgb="FF666666"/>
        <rFont val="DejaVu Sans"/>
        <family val="2"/>
      </rPr>
      <t xml:space="preserve">年 </t>
    </r>
    <r>
      <rPr>
        <i val="true"/>
        <sz val="9"/>
        <color rgb="FF666666"/>
        <rFont val="Microsoft JhengHei"/>
        <family val="0"/>
        <charset val="1"/>
      </rPr>
      <t xml:space="preserve">× 5</t>
    </r>
  </si>
  <si>
    <r>
      <rPr>
        <sz val="10"/>
        <color rgb="FF000000"/>
        <rFont val="DejaVu Sans"/>
        <family val="2"/>
      </rPr>
      <t xml:space="preserve">提前退場 </t>
    </r>
    <r>
      <rPr>
        <sz val="10"/>
        <color rgb="FF000000"/>
        <rFont val="Microsoft JhengHei"/>
        <family val="0"/>
        <charset val="1"/>
      </rPr>
      <t xml:space="preserve">(Y3 </t>
    </r>
    <r>
      <rPr>
        <sz val="10"/>
        <color rgb="FF000000"/>
        <rFont val="DejaVu Sans"/>
        <family val="2"/>
      </rPr>
      <t xml:space="preserve">終止合約</t>
    </r>
    <r>
      <rPr>
        <sz val="10"/>
        <color rgb="FF000000"/>
        <rFont val="Microsoft JhengHei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</si>
  <si>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只算 </t>
    </r>
    <r>
      <rPr>
        <i val="true"/>
        <sz val="9"/>
        <color rgb="FF666666"/>
        <rFont val="Microsoft JhengHei"/>
        <family val="0"/>
        <charset val="1"/>
      </rPr>
      <t xml:space="preserve">Y0-Y3 + 90</t>
    </r>
    <r>
      <rPr>
        <i val="true"/>
        <sz val="9"/>
        <color rgb="FF666666"/>
        <rFont val="DejaVu Sans"/>
        <family val="2"/>
      </rPr>
      <t xml:space="preserve">天過渡</t>
    </r>
  </si>
  <si>
    <r>
      <rPr>
        <i val="true"/>
        <sz val="9"/>
        <color rgb="FF666666"/>
        <rFont val="DejaVu Sans"/>
        <family val="2"/>
      </rPr>
      <t xml:space="preserve">【說明】上述敏感性分析使用簡化倍率</t>
    </r>
    <r>
      <rPr>
        <i val="true"/>
        <sz val="9"/>
        <color rgb="FF666666"/>
        <rFont val="Microsoft JhengHei"/>
        <family val="0"/>
        <charset val="1"/>
      </rPr>
      <t xml:space="preserve">,</t>
    </r>
    <r>
      <rPr>
        <i val="true"/>
        <sz val="9"/>
        <color rgb="FF666666"/>
        <rFont val="DejaVu Sans"/>
        <family val="2"/>
      </rPr>
      <t xml:space="preserve">精確計算需展開到子項目層級。本表用於議價場景的「快速估算」。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</si>
</sst>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"/>
    <numFmt numFmtId="167" formatCode="0.0%"/>
    <numFmt numFmtId="168" formatCode="#,##0"/>
    <numFmt numFmtId="169" formatCode="0.0%;\(0.0%\);\-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E5066"/>
      <name val="Microsoft JhengHei"/>
      <family val="0"/>
      <charset val="1"/>
    </font>
    <font>
      <b val="true"/>
      <sz val="20"/>
      <color rgb="FF0E5066"/>
      <name val="DejaVu Sans"/>
      <family val="2"/>
    </font>
    <font>
      <i val="true"/>
      <sz val="12"/>
      <color rgb="FF2C9889"/>
      <name val="Microsoft JhengHei"/>
      <family val="0"/>
      <charset val="1"/>
    </font>
    <font>
      <i val="true"/>
      <sz val="12"/>
      <color rgb="FF2C9889"/>
      <name val="DejaVu Sans"/>
      <family val="2"/>
    </font>
    <font>
      <b val="true"/>
      <sz val="11"/>
      <color rgb="FFC0392B"/>
      <name val="DejaVu Sans"/>
      <family val="2"/>
    </font>
    <font>
      <b val="true"/>
      <sz val="11"/>
      <color rgb="FFC0392B"/>
      <name val="Microsoft JhengHei"/>
      <family val="0"/>
      <charset val="1"/>
    </font>
    <font>
      <sz val="9"/>
      <color rgb="FF666666"/>
      <name val="DejaVu Sans"/>
      <family val="2"/>
    </font>
    <font>
      <sz val="9"/>
      <color rgb="FF666666"/>
      <name val="Microsoft JhengHei"/>
      <family val="0"/>
      <charset val="1"/>
    </font>
    <font>
      <b val="true"/>
      <sz val="14"/>
      <color rgb="FF0E5066"/>
      <name val="DejaVu Sans"/>
      <family val="2"/>
    </font>
    <font>
      <b val="true"/>
      <sz val="10"/>
      <color rgb="FF0E5066"/>
      <name val="DejaVu Sans"/>
      <family val="2"/>
    </font>
    <font>
      <sz val="10"/>
      <color rgb="FF0000FF"/>
      <name val="Calibri"/>
      <family val="0"/>
      <charset val="1"/>
    </font>
    <font>
      <sz val="10"/>
      <color rgb="FF666666"/>
      <name val="DejaVu Sans"/>
      <family val="2"/>
    </font>
    <font>
      <i val="true"/>
      <sz val="9"/>
      <color rgb="FF666666"/>
      <name val="DejaVu Sans"/>
      <family val="2"/>
    </font>
    <font>
      <b val="true"/>
      <sz val="10"/>
      <color rgb="FF0E5066"/>
      <name val="Microsoft JhengHei"/>
      <family val="0"/>
      <charset val="1"/>
    </font>
    <font>
      <i val="true"/>
      <sz val="9"/>
      <color rgb="FF666666"/>
      <name val="Microsoft JhengHei"/>
      <family val="0"/>
      <charset val="1"/>
    </font>
    <font>
      <b val="true"/>
      <sz val="14"/>
      <color rgb="FF0E5066"/>
      <name val="Microsoft JhengHei"/>
      <family val="0"/>
      <charset val="1"/>
    </font>
    <font>
      <sz val="10"/>
      <color rgb="FF000000"/>
      <name val="Microsoft JhengHei"/>
      <family val="0"/>
      <charset val="1"/>
    </font>
    <font>
      <sz val="10"/>
      <color rgb="FF000000"/>
      <name val="DejaVu Sans"/>
      <family val="2"/>
    </font>
    <font>
      <sz val="10"/>
      <color rgb="FF666666"/>
      <name val="Microsoft JhengHei"/>
      <family val="0"/>
      <charset val="1"/>
    </font>
    <font>
      <b val="true"/>
      <sz val="16"/>
      <color rgb="FF0E5066"/>
      <name val="DejaVu Sans"/>
      <family val="2"/>
    </font>
    <font>
      <b val="true"/>
      <sz val="16"/>
      <color rgb="FF0E5066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b val="true"/>
      <sz val="11"/>
      <color rgb="FFFFFFFF"/>
      <name val="DejaVu Sans"/>
      <family val="2"/>
    </font>
    <font>
      <sz val="10"/>
      <color rgb="FFCCCCC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7AE60"/>
      <name val="DejaVu Sans"/>
      <family val="2"/>
    </font>
    <font>
      <b val="true"/>
      <sz val="11"/>
      <color rgb="FF27AE60"/>
      <name val="Microsoft JhengHei"/>
      <family val="0"/>
      <charset val="1"/>
    </font>
    <font>
      <b val="true"/>
      <sz val="18"/>
      <color rgb="FF0E5066"/>
      <name val="DejaVu Sans"/>
      <family val="2"/>
    </font>
    <font>
      <b val="true"/>
      <sz val="18"/>
      <color rgb="FF0E5066"/>
      <name val="Microsoft JhengHei"/>
      <family val="0"/>
      <charset val="1"/>
    </font>
    <font>
      <i val="true"/>
      <sz val="10"/>
      <color rgb="FF2C9889"/>
      <name val="DejaVu Sans"/>
      <family val="2"/>
    </font>
    <font>
      <sz val="10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1A2530"/>
      <name val="DejaVu Sans"/>
      <family val="2"/>
    </font>
    <font>
      <sz val="10"/>
      <color rgb="FF1A2530"/>
      <name val="Microsoft JhengHei"/>
      <family val="0"/>
      <charset val="1"/>
    </font>
    <font>
      <i val="true"/>
      <sz val="10"/>
      <color rgb="FF1A2530"/>
      <name val="DejaVu Sans"/>
      <family val="2"/>
    </font>
    <font>
      <i val="true"/>
      <sz val="10"/>
      <color rgb="FF1A2530"/>
      <name val="Microsoft JhengHei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F4F3"/>
        <bgColor rgb="FFF9F9F9"/>
      </patternFill>
    </fill>
    <fill>
      <patternFill patternType="solid">
        <fgColor rgb="FFFFFFE0"/>
        <bgColor rgb="FFF9F9F9"/>
      </patternFill>
    </fill>
    <fill>
      <patternFill patternType="solid">
        <fgColor rgb="FF0E5066"/>
        <bgColor rgb="FF333399"/>
      </patternFill>
    </fill>
    <fill>
      <patternFill patternType="solid">
        <fgColor rgb="FFD68910"/>
        <bgColor rgb="FFFF6600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2C9889"/>
      </patternFill>
    </fill>
    <fill>
      <patternFill patternType="solid">
        <fgColor rgb="FFB8E0D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E5066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AE60"/>
      <rgbColor rgb="FFCCCCCC"/>
      <rgbColor rgb="FF878787"/>
      <rgbColor rgb="FF9999FF"/>
      <rgbColor rgb="FF993366"/>
      <rgbColor rgb="FFFFFFE0"/>
      <rgbColor rgb="FFE8F4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B8E0DD"/>
      <rgbColor rgb="FFFF99CC"/>
      <rgbColor rgb="FFCC99FF"/>
      <rgbColor rgb="FFFFCC99"/>
      <rgbColor rgb="FF4F81BD"/>
      <rgbColor rgb="FF33CCCC"/>
      <rgbColor rgb="FF99CC00"/>
      <rgbColor rgb="FFFFCC00"/>
      <rgbColor rgb="FFD68910"/>
      <rgbColor rgb="FFFF6600"/>
      <rgbColor rgb="FF666666"/>
      <rgbColor rgb="FF999999"/>
      <rgbColor rgb="FF0E5066"/>
      <rgbColor rgb="FF2C9889"/>
      <rgbColor rgb="FF003300"/>
      <rgbColor rgb="FF333300"/>
      <rgbColor rgb="FFC0392B"/>
      <rgbColor rgb="FF993366"/>
      <rgbColor rgb="FF333399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5 年 TCO 對照 (NTD)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對照總表!H4</c:f>
              <c:strCache>
                <c:ptCount val="1"/>
                <c:pt idx="0">
                  <c:v>5 年 TCO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對照總表!$A$5:$A$7</c:f>
              <c:strCache>
                <c:ptCount val="3"/>
                <c:pt idx="0">
                  <c:v>方案 A: 續用 Genesys</c:v>
                </c:pt>
                <c:pt idx="1">
                  <c:v>方案 B: 自建 PBX</c:v>
                </c:pt>
                <c:pt idx="2">
                  <c:v>方案 C: VOXEN+3CX (推薦)</c:v>
                </c:pt>
              </c:strCache>
            </c:strRef>
          </c:cat>
          <c:val>
            <c:numRef>
              <c:f>對照總表!$H$5:$H$7</c:f>
              <c:numCache>
                <c:formatCode>#,##0</c:formatCode>
                <c:ptCount val="3"/>
                <c:pt idx="0">
                  <c:v>173140248.72</c:v>
                </c:pt>
                <c:pt idx="1">
                  <c:v>42420370.056</c:v>
                </c:pt>
                <c:pt idx="2">
                  <c:v>19916414.52</c:v>
                </c:pt>
              </c:numCache>
            </c:numRef>
          </c:val>
        </c:ser>
        <c:gapWidth val="150"/>
        <c:overlap val="0"/>
        <c:axId val="17296197"/>
        <c:axId val="62377896"/>
      </c:barChart>
      <c:catAx>
        <c:axId val="1729619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TCO (NTD)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377896"/>
        <c:crosses val="autoZero"/>
        <c:auto val="1"/>
        <c:lblAlgn val="ctr"/>
        <c:lblOffset val="100"/>
        <c:noMultiLvlLbl val="0"/>
      </c:catAx>
      <c:valAx>
        <c:axId val="62377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方案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2961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4</xdr:col>
      <xdr:colOff>825840</xdr:colOff>
      <xdr:row>39</xdr:row>
      <xdr:rowOff>22320</xdr:rowOff>
    </xdr:to>
    <xdr:graphicFrame>
      <xdr:nvGraphicFramePr>
        <xdr:cNvPr id="1" name="Chart 1"/>
        <xdr:cNvGraphicFramePr/>
      </xdr:nvGraphicFramePr>
      <xdr:xfrm>
        <a:off x="0" y="4546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24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1.9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8" customFormat="false" ht="17.35" hidden="false" customHeight="false" outlineLevel="0" collapsed="false">
      <c r="A8" s="5" t="s">
        <v>4</v>
      </c>
      <c r="B8" s="5"/>
      <c r="C8" s="5"/>
      <c r="D8" s="5"/>
    </row>
    <row r="9" customFormat="false" ht="15" hidden="false" customHeight="true" outlineLevel="0" collapsed="false">
      <c r="A9" s="6" t="s">
        <v>5</v>
      </c>
      <c r="B9" s="7" t="n">
        <v>450</v>
      </c>
      <c r="C9" s="8" t="s">
        <v>6</v>
      </c>
      <c r="D9" s="9" t="s">
        <v>7</v>
      </c>
      <c r="E9" s="9"/>
      <c r="F9" s="9"/>
      <c r="G9" s="9"/>
      <c r="H9" s="9"/>
    </row>
    <row r="10" customFormat="false" ht="15" hidden="false" customHeight="true" outlineLevel="0" collapsed="false">
      <c r="A10" s="6" t="s">
        <v>8</v>
      </c>
      <c r="B10" s="7" t="n">
        <v>3</v>
      </c>
      <c r="C10" s="8" t="s">
        <v>9</v>
      </c>
      <c r="D10" s="10" t="s">
        <v>10</v>
      </c>
      <c r="E10" s="10"/>
      <c r="F10" s="10"/>
      <c r="G10" s="10"/>
      <c r="H10" s="10"/>
    </row>
    <row r="11" customFormat="false" ht="15" hidden="false" customHeight="true" outlineLevel="0" collapsed="false">
      <c r="A11" s="6" t="s">
        <v>11</v>
      </c>
      <c r="B11" s="7" t="n">
        <v>5</v>
      </c>
      <c r="C11" s="8" t="s">
        <v>9</v>
      </c>
      <c r="D11" s="10" t="s">
        <v>12</v>
      </c>
      <c r="E11" s="10"/>
      <c r="F11" s="10"/>
      <c r="G11" s="10"/>
      <c r="H11" s="10"/>
    </row>
    <row r="12" customFormat="false" ht="15" hidden="false" customHeight="true" outlineLevel="0" collapsed="false">
      <c r="A12" s="11" t="s">
        <v>13</v>
      </c>
      <c r="B12" s="12" t="n">
        <v>32.5</v>
      </c>
      <c r="C12" s="8"/>
      <c r="D12" s="9" t="s">
        <v>14</v>
      </c>
      <c r="E12" s="9"/>
      <c r="F12" s="9"/>
      <c r="G12" s="9"/>
      <c r="H12" s="9"/>
    </row>
    <row r="13" customFormat="false" ht="15" hidden="false" customHeight="true" outlineLevel="0" collapsed="false">
      <c r="A13" s="6" t="s">
        <v>15</v>
      </c>
      <c r="B13" s="13" t="n">
        <v>0.04</v>
      </c>
      <c r="C13" s="8"/>
      <c r="D13" s="9" t="s">
        <v>16</v>
      </c>
      <c r="E13" s="9"/>
      <c r="F13" s="9"/>
      <c r="G13" s="9"/>
      <c r="H13" s="9"/>
    </row>
    <row r="14" customFormat="false" ht="15" hidden="false" customHeight="true" outlineLevel="0" collapsed="false">
      <c r="A14" s="6" t="s">
        <v>17</v>
      </c>
      <c r="B14" s="13" t="n">
        <v>0.03</v>
      </c>
      <c r="C14" s="8"/>
      <c r="D14" s="9" t="s">
        <v>18</v>
      </c>
      <c r="E14" s="9"/>
      <c r="F14" s="9"/>
      <c r="G14" s="9"/>
      <c r="H14" s="9"/>
    </row>
    <row r="15" customFormat="false" ht="15" hidden="false" customHeight="true" outlineLevel="0" collapsed="false">
      <c r="A15" s="6" t="s">
        <v>19</v>
      </c>
      <c r="B15" s="13" t="n">
        <v>0.02</v>
      </c>
      <c r="C15" s="8"/>
      <c r="D15" s="9" t="s">
        <v>20</v>
      </c>
      <c r="E15" s="9"/>
      <c r="F15" s="9"/>
      <c r="G15" s="9"/>
      <c r="H15" s="9"/>
    </row>
    <row r="16" customFormat="false" ht="15" hidden="false" customHeight="true" outlineLevel="0" collapsed="false">
      <c r="A16" s="6" t="s">
        <v>21</v>
      </c>
      <c r="B16" s="13" t="n">
        <v>0.2</v>
      </c>
      <c r="C16" s="8"/>
      <c r="D16" s="9" t="s">
        <v>22</v>
      </c>
      <c r="E16" s="9"/>
      <c r="F16" s="9"/>
      <c r="G16" s="9"/>
      <c r="H16" s="9"/>
    </row>
    <row r="17" customFormat="false" ht="15" hidden="false" customHeight="true" outlineLevel="0" collapsed="false">
      <c r="A17" s="6" t="s">
        <v>23</v>
      </c>
      <c r="B17" s="13" t="n">
        <v>0.3</v>
      </c>
      <c r="C17" s="8"/>
      <c r="D17" s="10" t="s">
        <v>24</v>
      </c>
      <c r="E17" s="10"/>
      <c r="F17" s="10"/>
      <c r="G17" s="10"/>
      <c r="H17" s="10"/>
    </row>
    <row r="20" customFormat="false" ht="17.9" hidden="false" customHeight="false" outlineLevel="0" collapsed="false">
      <c r="A20" s="5" t="s">
        <v>25</v>
      </c>
      <c r="B20" s="5"/>
      <c r="C20" s="5"/>
      <c r="D20" s="5"/>
    </row>
    <row r="21" customFormat="false" ht="15" hidden="false" customHeight="true" outlineLevel="0" collapsed="false">
      <c r="A21" s="14" t="s">
        <v>26</v>
      </c>
      <c r="B21" s="7" t="n">
        <v>380000</v>
      </c>
      <c r="C21" s="15" t="s">
        <v>27</v>
      </c>
      <c r="D21" s="10" t="s">
        <v>28</v>
      </c>
      <c r="E21" s="10"/>
      <c r="F21" s="10"/>
      <c r="G21" s="10"/>
      <c r="H21" s="10"/>
    </row>
    <row r="22" customFormat="false" ht="15" hidden="false" customHeight="true" outlineLevel="0" collapsed="false">
      <c r="A22" s="14" t="s">
        <v>29</v>
      </c>
      <c r="B22" s="7" t="n">
        <v>95</v>
      </c>
      <c r="C22" s="15" t="s">
        <v>30</v>
      </c>
      <c r="D22" s="9" t="s">
        <v>31</v>
      </c>
      <c r="E22" s="9"/>
      <c r="F22" s="9"/>
      <c r="G22" s="9"/>
      <c r="H22" s="9"/>
    </row>
    <row r="23" customFormat="false" ht="15" hidden="false" customHeight="true" outlineLevel="0" collapsed="false">
      <c r="A23" s="16" t="s">
        <v>32</v>
      </c>
      <c r="B23" s="7" t="n">
        <v>250000</v>
      </c>
      <c r="C23" s="15" t="s">
        <v>33</v>
      </c>
      <c r="D23" s="9" t="s">
        <v>34</v>
      </c>
      <c r="E23" s="9"/>
      <c r="F23" s="9"/>
      <c r="G23" s="9"/>
      <c r="H23" s="9"/>
    </row>
    <row r="24" customFormat="false" ht="15" hidden="false" customHeight="true" outlineLevel="0" collapsed="false">
      <c r="A24" s="16" t="s">
        <v>35</v>
      </c>
      <c r="B24" s="7" t="n">
        <v>180000</v>
      </c>
      <c r="C24" s="15" t="s">
        <v>33</v>
      </c>
      <c r="D24" s="10" t="s">
        <v>36</v>
      </c>
      <c r="E24" s="10"/>
      <c r="F24" s="10"/>
      <c r="G24" s="10"/>
      <c r="H24" s="10"/>
    </row>
    <row r="25" customFormat="false" ht="15" hidden="false" customHeight="true" outlineLevel="0" collapsed="false">
      <c r="A25" s="16" t="s">
        <v>37</v>
      </c>
      <c r="B25" s="7" t="n">
        <v>120</v>
      </c>
      <c r="C25" s="8" t="s">
        <v>38</v>
      </c>
      <c r="D25" s="10" t="s">
        <v>39</v>
      </c>
      <c r="E25" s="10"/>
      <c r="F25" s="10"/>
      <c r="G25" s="10"/>
      <c r="H25" s="10"/>
    </row>
    <row r="27" customFormat="false" ht="17.9" hidden="false" customHeight="false" outlineLevel="0" collapsed="false">
      <c r="A27" s="5" t="s">
        <v>40</v>
      </c>
      <c r="B27" s="5"/>
      <c r="C27" s="5"/>
      <c r="D27" s="5"/>
    </row>
    <row r="28" customFormat="false" ht="15" hidden="false" customHeight="true" outlineLevel="0" collapsed="false">
      <c r="A28" s="14" t="s">
        <v>41</v>
      </c>
      <c r="B28" s="7" t="n">
        <v>280000</v>
      </c>
      <c r="C28" s="15" t="s">
        <v>42</v>
      </c>
      <c r="D28" s="9" t="s">
        <v>43</v>
      </c>
      <c r="E28" s="9"/>
      <c r="F28" s="9"/>
      <c r="G28" s="9"/>
      <c r="H28" s="9"/>
    </row>
    <row r="29" customFormat="false" ht="15" hidden="false" customHeight="true" outlineLevel="0" collapsed="false">
      <c r="A29" s="14" t="s">
        <v>44</v>
      </c>
      <c r="B29" s="7" t="n">
        <v>200000</v>
      </c>
      <c r="C29" s="15" t="s">
        <v>42</v>
      </c>
      <c r="D29" s="9" t="s">
        <v>45</v>
      </c>
      <c r="E29" s="9"/>
      <c r="F29" s="9"/>
      <c r="G29" s="9"/>
      <c r="H29" s="9"/>
    </row>
    <row r="30" customFormat="false" ht="15" hidden="false" customHeight="true" outlineLevel="0" collapsed="false">
      <c r="A30" s="16" t="s">
        <v>46</v>
      </c>
      <c r="B30" s="7" t="n">
        <v>18</v>
      </c>
      <c r="C30" s="8" t="s">
        <v>38</v>
      </c>
      <c r="D30" s="10" t="s">
        <v>47</v>
      </c>
      <c r="E30" s="10"/>
      <c r="F30" s="10"/>
      <c r="G30" s="10"/>
      <c r="H30" s="10"/>
    </row>
    <row r="31" customFormat="false" ht="15" hidden="false" customHeight="true" outlineLevel="0" collapsed="false">
      <c r="A31" s="16" t="s">
        <v>48</v>
      </c>
      <c r="B31" s="7" t="n">
        <v>60</v>
      </c>
      <c r="C31" s="8" t="s">
        <v>38</v>
      </c>
      <c r="D31" s="10" t="s">
        <v>49</v>
      </c>
      <c r="E31" s="10"/>
      <c r="F31" s="10"/>
      <c r="G31" s="10"/>
      <c r="H31" s="10"/>
    </row>
    <row r="32" customFormat="false" ht="15" hidden="false" customHeight="true" outlineLevel="0" collapsed="false">
      <c r="A32" s="14" t="s">
        <v>50</v>
      </c>
      <c r="B32" s="7" t="n">
        <v>1200000</v>
      </c>
      <c r="C32" s="15" t="s">
        <v>51</v>
      </c>
      <c r="D32" s="10" t="s">
        <v>52</v>
      </c>
      <c r="E32" s="10"/>
      <c r="F32" s="10"/>
      <c r="G32" s="10"/>
      <c r="H32" s="10"/>
    </row>
    <row r="33" customFormat="false" ht="15" hidden="false" customHeight="true" outlineLevel="0" collapsed="false">
      <c r="A33" s="14" t="s">
        <v>53</v>
      </c>
      <c r="B33" s="7" t="n">
        <v>800000</v>
      </c>
      <c r="C33" s="15" t="s">
        <v>51</v>
      </c>
      <c r="D33" s="9" t="s">
        <v>54</v>
      </c>
      <c r="E33" s="9"/>
      <c r="F33" s="9"/>
      <c r="G33" s="9"/>
      <c r="H33" s="9"/>
    </row>
    <row r="34" customFormat="false" ht="15" hidden="false" customHeight="true" outlineLevel="0" collapsed="false">
      <c r="A34" s="16" t="s">
        <v>55</v>
      </c>
      <c r="B34" s="7" t="n">
        <v>350000</v>
      </c>
      <c r="C34" s="15" t="s">
        <v>56</v>
      </c>
      <c r="D34" s="10" t="s">
        <v>57</v>
      </c>
      <c r="E34" s="10"/>
      <c r="F34" s="10"/>
      <c r="G34" s="10"/>
      <c r="H34" s="10"/>
    </row>
    <row r="35" customFormat="false" ht="15" hidden="false" customHeight="true" outlineLevel="0" collapsed="false">
      <c r="A35" s="16" t="s">
        <v>58</v>
      </c>
      <c r="B35" s="7" t="n">
        <v>4800000</v>
      </c>
      <c r="C35" s="15" t="s">
        <v>56</v>
      </c>
      <c r="D35" s="10" t="s">
        <v>59</v>
      </c>
      <c r="E35" s="10"/>
      <c r="F35" s="10"/>
      <c r="G35" s="10"/>
      <c r="H35" s="10"/>
    </row>
    <row r="37" customFormat="false" ht="17.9" hidden="false" customHeight="false" outlineLevel="0" collapsed="false">
      <c r="A37" s="5" t="s">
        <v>60</v>
      </c>
      <c r="B37" s="5"/>
      <c r="C37" s="5"/>
      <c r="D37" s="5"/>
    </row>
    <row r="38" customFormat="false" ht="15" hidden="false" customHeight="true" outlineLevel="0" collapsed="false">
      <c r="A38" s="14" t="s">
        <v>61</v>
      </c>
      <c r="B38" s="7" t="n">
        <v>200</v>
      </c>
      <c r="C38" s="15" t="s">
        <v>62</v>
      </c>
      <c r="D38" s="9" t="s">
        <v>63</v>
      </c>
      <c r="E38" s="9"/>
      <c r="F38" s="9"/>
      <c r="G38" s="9"/>
      <c r="H38" s="9"/>
    </row>
    <row r="39" customFormat="false" ht="15" hidden="false" customHeight="true" outlineLevel="0" collapsed="false">
      <c r="A39" s="14" t="s">
        <v>64</v>
      </c>
      <c r="B39" s="7" t="n">
        <v>60</v>
      </c>
      <c r="C39" s="15" t="s">
        <v>65</v>
      </c>
      <c r="D39" s="9" t="s">
        <v>66</v>
      </c>
      <c r="E39" s="9"/>
      <c r="F39" s="9"/>
      <c r="G39" s="9"/>
      <c r="H39" s="9"/>
    </row>
    <row r="40" customFormat="false" ht="15" hidden="false" customHeight="true" outlineLevel="0" collapsed="false">
      <c r="A40" s="14" t="s">
        <v>67</v>
      </c>
      <c r="B40" s="7" t="n">
        <v>12000</v>
      </c>
      <c r="C40" s="15" t="s">
        <v>27</v>
      </c>
      <c r="D40" s="9" t="s">
        <v>68</v>
      </c>
      <c r="E40" s="9"/>
      <c r="F40" s="9"/>
      <c r="G40" s="9"/>
      <c r="H40" s="9"/>
    </row>
    <row r="41" customFormat="false" ht="15" hidden="false" customHeight="true" outlineLevel="0" collapsed="false">
      <c r="A41" s="14" t="s">
        <v>69</v>
      </c>
      <c r="B41" s="7" t="n">
        <v>80000</v>
      </c>
      <c r="C41" s="15" t="s">
        <v>56</v>
      </c>
      <c r="D41" s="10" t="s">
        <v>70</v>
      </c>
      <c r="E41" s="10"/>
      <c r="F41" s="10"/>
      <c r="G41" s="10"/>
      <c r="H41" s="10"/>
    </row>
    <row r="42" customFormat="false" ht="15" hidden="false" customHeight="true" outlineLevel="0" collapsed="false">
      <c r="A42" s="16" t="s">
        <v>71</v>
      </c>
      <c r="B42" s="7" t="n">
        <v>2800000</v>
      </c>
      <c r="C42" s="15" t="s">
        <v>51</v>
      </c>
      <c r="D42" s="10" t="s">
        <v>72</v>
      </c>
      <c r="E42" s="10"/>
      <c r="F42" s="10"/>
      <c r="G42" s="10"/>
      <c r="H42" s="10"/>
    </row>
    <row r="43" customFormat="false" ht="15" hidden="false" customHeight="true" outlineLevel="0" collapsed="false">
      <c r="A43" s="16" t="s">
        <v>73</v>
      </c>
      <c r="B43" s="7" t="n">
        <v>1800000</v>
      </c>
      <c r="C43" s="15" t="s">
        <v>56</v>
      </c>
      <c r="D43" s="10" t="s">
        <v>74</v>
      </c>
      <c r="E43" s="10"/>
      <c r="F43" s="10"/>
      <c r="G43" s="10"/>
      <c r="H43" s="10"/>
    </row>
    <row r="44" customFormat="false" ht="15" hidden="false" customHeight="true" outlineLevel="0" collapsed="false">
      <c r="A44" s="14" t="s">
        <v>75</v>
      </c>
      <c r="B44" s="7" t="n">
        <v>1200000</v>
      </c>
      <c r="C44" s="15" t="s">
        <v>51</v>
      </c>
      <c r="D44" s="10" t="s">
        <v>76</v>
      </c>
      <c r="E44" s="10"/>
      <c r="F44" s="10"/>
      <c r="G44" s="10"/>
      <c r="H44" s="10"/>
    </row>
    <row r="45" customFormat="false" ht="15" hidden="false" customHeight="true" outlineLevel="0" collapsed="false">
      <c r="A45" s="14" t="s">
        <v>77</v>
      </c>
      <c r="B45" s="7" t="n">
        <v>600000</v>
      </c>
      <c r="C45" s="15" t="s">
        <v>51</v>
      </c>
      <c r="D45" s="9" t="s">
        <v>78</v>
      </c>
      <c r="E45" s="9"/>
      <c r="F45" s="9"/>
      <c r="G45" s="9"/>
      <c r="H45" s="9"/>
    </row>
  </sheetData>
  <mergeCells count="38">
    <mergeCell ref="A1:H1"/>
    <mergeCell ref="A2:H2"/>
    <mergeCell ref="A4:H4"/>
    <mergeCell ref="A6:H6"/>
    <mergeCell ref="A8:D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A20:D20"/>
    <mergeCell ref="D21:H21"/>
    <mergeCell ref="D22:H22"/>
    <mergeCell ref="D23:H23"/>
    <mergeCell ref="D24:H24"/>
    <mergeCell ref="D25:H25"/>
    <mergeCell ref="A27:D27"/>
    <mergeCell ref="D28:H28"/>
    <mergeCell ref="D29:H29"/>
    <mergeCell ref="D30:H30"/>
    <mergeCell ref="D31:H31"/>
    <mergeCell ref="D32:H32"/>
    <mergeCell ref="D33:H33"/>
    <mergeCell ref="D34:H34"/>
    <mergeCell ref="D35:H35"/>
    <mergeCell ref="A37:D37"/>
    <mergeCell ref="D38:H38"/>
    <mergeCell ref="D39:H39"/>
    <mergeCell ref="D40:H40"/>
    <mergeCell ref="D41:H41"/>
    <mergeCell ref="D42:H42"/>
    <mergeCell ref="D43:H43"/>
    <mergeCell ref="D44:H44"/>
    <mergeCell ref="D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9.4" hidden="false" customHeight="false" outlineLevel="0" collapsed="false">
      <c r="A1" s="17" t="s">
        <v>79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9" t="s">
        <v>80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8"/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</row>
    <row r="5" customFormat="false" ht="15" hidden="false" customHeight="false" outlineLevel="0" collapsed="false">
      <c r="A5" s="14" t="s">
        <v>87</v>
      </c>
      <c r="B5" s="19" t="n">
        <v>0</v>
      </c>
      <c r="C5" s="20" t="n">
        <f aca="false">GEN_EXT*FX*(1+RISK_GENESYS)</f>
        <v>16055000</v>
      </c>
      <c r="D5" s="20" t="n">
        <f aca="false">C5*(1+INFL_LICENSE)</f>
        <v>16376100</v>
      </c>
      <c r="E5" s="19" t="n">
        <v>0</v>
      </c>
      <c r="F5" s="19" t="n">
        <v>0</v>
      </c>
      <c r="G5" s="19" t="n">
        <v>0</v>
      </c>
    </row>
    <row r="6" customFormat="false" ht="15" hidden="false" customHeight="false" outlineLevel="0" collapsed="false">
      <c r="A6" s="14" t="s">
        <v>88</v>
      </c>
      <c r="B6" s="19" t="n">
        <v>0</v>
      </c>
      <c r="C6" s="19" t="n">
        <v>0</v>
      </c>
      <c r="D6" s="19" t="n">
        <v>0</v>
      </c>
      <c r="E6" s="20" t="n">
        <f aca="false">GEN_CLOUD_PA*SEATS*12*FX</f>
        <v>16672500</v>
      </c>
      <c r="F6" s="20" t="n">
        <f aca="false">E6*(1+INFL_LICENSE)</f>
        <v>17005950</v>
      </c>
      <c r="G6" s="20" t="n">
        <f aca="false">F6*(1+INFL_LICENSE)</f>
        <v>17346069</v>
      </c>
    </row>
    <row r="7" customFormat="false" ht="15" hidden="false" customHeight="false" outlineLevel="0" collapsed="false">
      <c r="A7" s="16" t="s">
        <v>89</v>
      </c>
      <c r="B7" s="20" t="n">
        <f aca="false">GEN_MIGRATE*FX</f>
        <v>8125000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</row>
    <row r="8" customFormat="false" ht="15" hidden="false" customHeight="false" outlineLevel="0" collapsed="false">
      <c r="A8" s="16" t="s">
        <v>90</v>
      </c>
      <c r="B8" s="19" t="n">
        <v>0</v>
      </c>
      <c r="C8" s="20" t="n">
        <f aca="false">GEN_PS*FX</f>
        <v>5850000</v>
      </c>
      <c r="D8" s="19" t="n">
        <v>0</v>
      </c>
      <c r="E8" s="19" t="n">
        <v>0</v>
      </c>
      <c r="F8" s="19" t="n">
        <v>0</v>
      </c>
      <c r="G8" s="19" t="n">
        <v>0</v>
      </c>
    </row>
    <row r="9" customFormat="false" ht="15" hidden="false" customHeight="false" outlineLevel="0" collapsed="false">
      <c r="A9" s="16" t="s">
        <v>91</v>
      </c>
      <c r="B9" s="19" t="n">
        <v>0</v>
      </c>
      <c r="C9" s="20" t="n">
        <f aca="false">GEN_INTERNAL_PM*BUILD_RATE_GEN</f>
        <v>24000000</v>
      </c>
      <c r="D9" s="20" t="n">
        <f aca="false">C9*0.5*(1+INFL_LABOR)</f>
        <v>12360000</v>
      </c>
      <c r="E9" s="20" t="n">
        <f aca="false">D9*(1+INFL_LABOR)</f>
        <v>12730800</v>
      </c>
      <c r="F9" s="20" t="n">
        <f aca="false">E9*(1+INFL_LABOR)</f>
        <v>13112724</v>
      </c>
      <c r="G9" s="20" t="n">
        <f aca="false">F9*(1+INFL_LABOR)</f>
        <v>13506105.72</v>
      </c>
    </row>
    <row r="10" customFormat="false" ht="15" hidden="false" customHeight="false" outlineLevel="0" collapsed="false">
      <c r="A10" s="21" t="s">
        <v>92</v>
      </c>
      <c r="B10" s="22" t="n">
        <f aca="false">SUM(B5:B9)</f>
        <v>8125000</v>
      </c>
      <c r="C10" s="22" t="n">
        <f aca="false">SUM(C5:C9)</f>
        <v>45905000</v>
      </c>
      <c r="D10" s="22" t="n">
        <f aca="false">SUM(D5:D9)</f>
        <v>28736100</v>
      </c>
      <c r="E10" s="22" t="n">
        <f aca="false">SUM(E5:E9)</f>
        <v>29403300</v>
      </c>
      <c r="F10" s="22" t="n">
        <f aca="false">SUM(F5:F9)</f>
        <v>30118674</v>
      </c>
      <c r="G10" s="22" t="n">
        <f aca="false">SUM(G5:G9)</f>
        <v>30852174.72</v>
      </c>
    </row>
    <row r="11" customFormat="false" ht="15" hidden="false" customHeight="false" outlineLevel="0" collapsed="false">
      <c r="A11" s="6" t="s">
        <v>93</v>
      </c>
      <c r="B11" s="23" t="n">
        <f aca="false">B10</f>
        <v>8125000</v>
      </c>
      <c r="C11" s="23" t="n">
        <f aca="false">B11+C10</f>
        <v>54030000</v>
      </c>
      <c r="D11" s="23" t="n">
        <f aca="false">C11+D10</f>
        <v>82766100</v>
      </c>
      <c r="E11" s="23" t="n">
        <f aca="false">D11+E10</f>
        <v>112169400</v>
      </c>
      <c r="F11" s="23" t="n">
        <f aca="false">E11+F10</f>
        <v>142288074</v>
      </c>
      <c r="G11" s="23" t="n">
        <f aca="false">F11+G10</f>
        <v>173140248.72</v>
      </c>
    </row>
    <row r="13" customFormat="false" ht="15" hidden="false" customHeight="false" outlineLevel="0" collapsed="false">
      <c r="A13" s="11" t="s">
        <v>94</v>
      </c>
      <c r="B13" s="24" t="n">
        <f aca="false">B10+C10+D10+E10</f>
        <v>112169400</v>
      </c>
    </row>
    <row r="14" customFormat="false" ht="15" hidden="false" customHeight="false" outlineLevel="0" collapsed="false">
      <c r="A14" s="11" t="s">
        <v>95</v>
      </c>
      <c r="B14" s="25" t="n">
        <f aca="false">SUM(B10:G10)</f>
        <v>173140248.72</v>
      </c>
    </row>
    <row r="15" customFormat="false" ht="15" hidden="false" customHeight="false" outlineLevel="0" collapsed="false">
      <c r="A15" s="16" t="s">
        <v>96</v>
      </c>
      <c r="B15" s="26" t="n">
        <f aca="false">B14/SEATS/_YR5</f>
        <v>76951.2216533333</v>
      </c>
    </row>
    <row r="18" customFormat="false" ht="15" hidden="false" customHeight="false" outlineLevel="0" collapsed="false">
      <c r="A18" s="27" t="s">
        <v>97</v>
      </c>
    </row>
    <row r="19" customFormat="false" ht="15" hidden="false" customHeight="true" outlineLevel="0" collapsed="false">
      <c r="A19" s="10" t="s">
        <v>98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 t="s">
        <v>99</v>
      </c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 t="s">
        <v>100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 t="s">
        <v>101</v>
      </c>
      <c r="B22" s="10"/>
      <c r="C22" s="10"/>
      <c r="D22" s="10"/>
      <c r="E22" s="10"/>
      <c r="F22" s="10"/>
      <c r="G22" s="10"/>
      <c r="H22" s="10"/>
    </row>
  </sheetData>
  <mergeCells count="6">
    <mergeCell ref="A1:H1"/>
    <mergeCell ref="A2:H2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9.4" hidden="false" customHeight="false" outlineLevel="0" collapsed="false">
      <c r="A1" s="17" t="s">
        <v>102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9" t="s">
        <v>103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8"/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</row>
    <row r="5" customFormat="false" ht="15" hidden="false" customHeight="false" outlineLevel="0" collapsed="false">
      <c r="A5" s="14" t="s">
        <v>104</v>
      </c>
      <c r="B5" s="19" t="n">
        <v>0</v>
      </c>
      <c r="C5" s="20" t="n">
        <f aca="false">BUILD_RATE_SIP*BUILD_PM_SIP*0.4*(1+RISK_BUILD)</f>
        <v>2419200</v>
      </c>
      <c r="D5" s="20" t="n">
        <f aca="false">BUILD_RATE_SIP*BUILD_PM_SIP*0.6*(1+RISK_BUILD)*(1+INFL_LABOR)</f>
        <v>3737664</v>
      </c>
      <c r="E5" s="19" t="n">
        <v>0</v>
      </c>
      <c r="F5" s="19" t="n">
        <v>0</v>
      </c>
      <c r="G5" s="19" t="n">
        <v>0</v>
      </c>
    </row>
    <row r="6" customFormat="false" ht="15" hidden="false" customHeight="false" outlineLevel="0" collapsed="false">
      <c r="A6" s="14" t="s">
        <v>105</v>
      </c>
      <c r="B6" s="19" t="n">
        <v>0</v>
      </c>
      <c r="C6" s="20" t="n">
        <f aca="false">BUILD_RATE_GEN*BUILD_PM_GEN*0.4*(1+RISK_BUILD)</f>
        <v>5760000</v>
      </c>
      <c r="D6" s="20" t="n">
        <f aca="false">BUILD_RATE_GEN*BUILD_PM_GEN*0.6*(1+RISK_BUILD)*(1+INFL_LABOR)</f>
        <v>8899200</v>
      </c>
      <c r="E6" s="19" t="n">
        <v>0</v>
      </c>
      <c r="F6" s="19" t="n">
        <v>0</v>
      </c>
      <c r="G6" s="19" t="n">
        <v>0</v>
      </c>
    </row>
    <row r="7" customFormat="false" ht="15" hidden="false" customHeight="false" outlineLevel="0" collapsed="false">
      <c r="A7" s="14" t="s">
        <v>106</v>
      </c>
      <c r="B7" s="20" t="n">
        <f aca="false">BUILD_HW_SBC</f>
        <v>1200000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</row>
    <row r="8" customFormat="false" ht="15" hidden="false" customHeight="false" outlineLevel="0" collapsed="false">
      <c r="A8" s="14" t="s">
        <v>107</v>
      </c>
      <c r="B8" s="20" t="n">
        <f aca="false">BUILD_HW_SRV</f>
        <v>800000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</row>
    <row r="9" customFormat="false" ht="15" hidden="false" customHeight="false" outlineLevel="0" collapsed="false">
      <c r="A9" s="16" t="s">
        <v>108</v>
      </c>
      <c r="B9" s="19" t="n">
        <v>0</v>
      </c>
      <c r="C9" s="20" t="n">
        <f aca="false">BUILD_3RD*0.5</f>
        <v>175000</v>
      </c>
      <c r="D9" s="20" t="n">
        <f aca="false">BUILD_3RD*(1+INFL_LICENSE)</f>
        <v>357000</v>
      </c>
      <c r="E9" s="20" t="n">
        <f aca="false">D9*(1+INFL_LICENSE)</f>
        <v>364140</v>
      </c>
      <c r="F9" s="20" t="n">
        <f aca="false">E9*(1+INFL_LICENSE)</f>
        <v>371422.8</v>
      </c>
      <c r="G9" s="20" t="n">
        <f aca="false">F9*(1+INFL_LICENSE)</f>
        <v>378851.256</v>
      </c>
    </row>
    <row r="10" customFormat="false" ht="15" hidden="false" customHeight="false" outlineLevel="0" collapsed="false">
      <c r="A10" s="16" t="s">
        <v>109</v>
      </c>
      <c r="B10" s="19" t="n">
        <v>0</v>
      </c>
      <c r="C10" s="19" t="n">
        <v>0</v>
      </c>
      <c r="D10" s="20" t="n">
        <f aca="false">BUILD_OPS*0.3</f>
        <v>1440000</v>
      </c>
      <c r="E10" s="20" t="n">
        <f aca="false">BUILD_OPS*(1+INFL_LABOR)</f>
        <v>4944000</v>
      </c>
      <c r="F10" s="20" t="n">
        <f aca="false">E10*(1+INFL_LABOR)</f>
        <v>5092320</v>
      </c>
      <c r="G10" s="20" t="n">
        <f aca="false">F10*(1+INFL_LABOR)</f>
        <v>5245089.6</v>
      </c>
    </row>
    <row r="11" customFormat="false" ht="15" hidden="false" customHeight="false" outlineLevel="0" collapsed="false">
      <c r="A11" s="16" t="s">
        <v>110</v>
      </c>
      <c r="B11" s="19" t="n">
        <v>0</v>
      </c>
      <c r="C11" s="19" t="n">
        <v>0</v>
      </c>
      <c r="D11" s="20" t="n">
        <f aca="false">(B7+B8)*0.15</f>
        <v>300000</v>
      </c>
      <c r="E11" s="20" t="n">
        <f aca="false">D11*(1+INFL_LICENSE)</f>
        <v>306000</v>
      </c>
      <c r="F11" s="20" t="n">
        <f aca="false">E11*(1+INFL_LICENSE)</f>
        <v>312120</v>
      </c>
      <c r="G11" s="20" t="n">
        <f aca="false">F11*(1+INFL_LICENSE)</f>
        <v>318362.4</v>
      </c>
    </row>
    <row r="12" customFormat="false" ht="15" hidden="false" customHeight="false" outlineLevel="0" collapsed="false">
      <c r="A12" s="21" t="s">
        <v>92</v>
      </c>
      <c r="B12" s="22" t="n">
        <f aca="false">SUM(B5:B11)</f>
        <v>2000000</v>
      </c>
      <c r="C12" s="22" t="n">
        <f aca="false">SUM(C5:C11)</f>
        <v>8354200</v>
      </c>
      <c r="D12" s="22" t="n">
        <f aca="false">SUM(D5:D11)</f>
        <v>14733864</v>
      </c>
      <c r="E12" s="22" t="n">
        <f aca="false">SUM(E5:E11)</f>
        <v>5614140</v>
      </c>
      <c r="F12" s="22" t="n">
        <f aca="false">SUM(F5:F11)</f>
        <v>5775862.8</v>
      </c>
      <c r="G12" s="22" t="n">
        <f aca="false">SUM(G5:G11)</f>
        <v>5942303.256</v>
      </c>
    </row>
    <row r="13" customFormat="false" ht="15" hidden="false" customHeight="false" outlineLevel="0" collapsed="false">
      <c r="A13" s="6" t="s">
        <v>93</v>
      </c>
      <c r="B13" s="23" t="n">
        <f aca="false">B12</f>
        <v>2000000</v>
      </c>
      <c r="C13" s="23" t="n">
        <f aca="false">B13+C12</f>
        <v>10354200</v>
      </c>
      <c r="D13" s="23" t="n">
        <f aca="false">C13+D12</f>
        <v>25088064</v>
      </c>
      <c r="E13" s="23" t="n">
        <f aca="false">D13+E12</f>
        <v>30702204</v>
      </c>
      <c r="F13" s="23" t="n">
        <f aca="false">E13+F12</f>
        <v>36478066.8</v>
      </c>
      <c r="G13" s="23" t="n">
        <f aca="false">F13+G12</f>
        <v>42420370.056</v>
      </c>
    </row>
    <row r="15" customFormat="false" ht="15" hidden="false" customHeight="false" outlineLevel="0" collapsed="false">
      <c r="A15" s="11" t="s">
        <v>94</v>
      </c>
      <c r="B15" s="24" t="n">
        <f aca="false">B12+C12+D12+E12</f>
        <v>30702204</v>
      </c>
    </row>
    <row r="16" customFormat="false" ht="15" hidden="false" customHeight="false" outlineLevel="0" collapsed="false">
      <c r="A16" s="11" t="s">
        <v>95</v>
      </c>
      <c r="B16" s="25" t="n">
        <f aca="false">SUM(B12:G12)</f>
        <v>42420370.056</v>
      </c>
    </row>
    <row r="17" customFormat="false" ht="15" hidden="false" customHeight="false" outlineLevel="0" collapsed="false">
      <c r="A17" s="16" t="s">
        <v>96</v>
      </c>
      <c r="B17" s="26" t="n">
        <f aca="false">B16/SEATS/_YR5</f>
        <v>18853.4978026667</v>
      </c>
    </row>
    <row r="20" customFormat="false" ht="15" hidden="false" customHeight="false" outlineLevel="0" collapsed="false">
      <c r="A20" s="27" t="s">
        <v>111</v>
      </c>
    </row>
    <row r="21" customFormat="false" ht="15" hidden="false" customHeight="true" outlineLevel="0" collapsed="false">
      <c r="A21" s="10" t="s">
        <v>112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 t="s">
        <v>113</v>
      </c>
      <c r="B22" s="10"/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10" t="s">
        <v>114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 t="s">
        <v>115</v>
      </c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 t="s">
        <v>116</v>
      </c>
      <c r="B25" s="10"/>
      <c r="C25" s="10"/>
      <c r="D25" s="10"/>
      <c r="E25" s="10"/>
      <c r="F25" s="10"/>
      <c r="G25" s="10"/>
      <c r="H25" s="10"/>
    </row>
  </sheetData>
  <mergeCells count="7">
    <mergeCell ref="A1:H1"/>
    <mergeCell ref="A2:H2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9.4" hidden="false" customHeight="false" outlineLevel="0" collapsed="false">
      <c r="A1" s="17" t="s">
        <v>117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9" t="s">
        <v>118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8"/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</row>
    <row r="5" customFormat="false" ht="15" hidden="false" customHeight="false" outlineLevel="0" collapsed="false">
      <c r="A5" s="14" t="s">
        <v>119</v>
      </c>
      <c r="B5" s="20" t="n">
        <f aca="false">VX_PERSEAT*300*FX</f>
        <v>1950000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</row>
    <row r="6" customFormat="false" ht="15" hidden="false" customHeight="false" outlineLevel="0" collapsed="false">
      <c r="A6" s="14" t="s">
        <v>120</v>
      </c>
      <c r="B6" s="19" t="n">
        <v>0</v>
      </c>
      <c r="C6" s="20" t="n">
        <f aca="false">VX_PERYEAR*150*FX</f>
        <v>292500</v>
      </c>
      <c r="D6" s="20" t="n">
        <f aca="false">C6*(1+INFL_LICENSE)</f>
        <v>298350</v>
      </c>
      <c r="E6" s="20" t="n">
        <f aca="false">D6*(1+INFL_LICENSE)</f>
        <v>304317</v>
      </c>
      <c r="F6" s="20" t="n">
        <f aca="false">E6*(1+INFL_LICENSE)</f>
        <v>310403.34</v>
      </c>
      <c r="G6" s="20" t="n">
        <f aca="false">F6*(1+INFL_LICENSE)</f>
        <v>316611.4068</v>
      </c>
    </row>
    <row r="7" customFormat="false" ht="15" hidden="false" customHeight="false" outlineLevel="0" collapsed="false">
      <c r="A7" s="14" t="s">
        <v>121</v>
      </c>
      <c r="B7" s="19" t="n">
        <v>0</v>
      </c>
      <c r="C7" s="20" t="n">
        <f aca="false">VX_PREM*FX</f>
        <v>390000</v>
      </c>
      <c r="D7" s="20" t="n">
        <f aca="false">C7*(1+INFL_LICENSE)</f>
        <v>397800</v>
      </c>
      <c r="E7" s="20" t="n">
        <f aca="false">D7*(1+INFL_LICENSE)</f>
        <v>405756</v>
      </c>
      <c r="F7" s="20" t="n">
        <f aca="false">E7*(1+INFL_LICENSE)</f>
        <v>413871.12</v>
      </c>
      <c r="G7" s="20" t="n">
        <f aca="false">F7*(1+INFL_LICENSE)</f>
        <v>422148.5424</v>
      </c>
    </row>
    <row r="8" customFormat="false" ht="15" hidden="false" customHeight="false" outlineLevel="0" collapsed="false">
      <c r="A8" s="14" t="s">
        <v>122</v>
      </c>
      <c r="B8" s="19" t="n">
        <v>0</v>
      </c>
      <c r="C8" s="20" t="n">
        <f aca="false">VX_ESCROW</f>
        <v>80000</v>
      </c>
      <c r="D8" s="20" t="n">
        <f aca="false">C8*(1+INFL_LICENSE)</f>
        <v>81600</v>
      </c>
      <c r="E8" s="20" t="n">
        <f aca="false">D8*(1+INFL_LICENSE)</f>
        <v>83232</v>
      </c>
      <c r="F8" s="20" t="n">
        <f aca="false">E8*(1+INFL_LICENSE)</f>
        <v>84896.64</v>
      </c>
      <c r="G8" s="20" t="n">
        <f aca="false">F8*(1+INFL_LICENSE)</f>
        <v>86594.5728</v>
      </c>
    </row>
    <row r="9" customFormat="false" ht="15" hidden="false" customHeight="false" outlineLevel="0" collapsed="false">
      <c r="A9" s="16" t="s">
        <v>123</v>
      </c>
      <c r="B9" s="20" t="n">
        <f aca="false">VX_BUILD</f>
        <v>2800000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</row>
    <row r="10" customFormat="false" ht="15" hidden="false" customHeight="false" outlineLevel="0" collapsed="false">
      <c r="A10" s="14" t="s">
        <v>106</v>
      </c>
      <c r="B10" s="20" t="n">
        <f aca="false">VX_HW_SBC</f>
        <v>1200000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</row>
    <row r="11" customFormat="false" ht="15" hidden="false" customHeight="false" outlineLevel="0" collapsed="false">
      <c r="A11" s="14" t="s">
        <v>124</v>
      </c>
      <c r="B11" s="20" t="n">
        <f aca="false">VX_INTEG</f>
        <v>600000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</row>
    <row r="12" customFormat="false" ht="15" hidden="false" customHeight="false" outlineLevel="0" collapsed="false">
      <c r="A12" s="16" t="s">
        <v>125</v>
      </c>
      <c r="B12" s="19" t="n">
        <v>0</v>
      </c>
      <c r="C12" s="20" t="n">
        <f aca="false">VX_MAINT*0.5</f>
        <v>900000</v>
      </c>
      <c r="D12" s="20" t="n">
        <f aca="false">VX_MAINT*(1+INFL_LABOR)</f>
        <v>1854000</v>
      </c>
      <c r="E12" s="20" t="n">
        <f aca="false">D12*(1+INFL_LABOR)</f>
        <v>1909620</v>
      </c>
      <c r="F12" s="20" t="n">
        <f aca="false">E12*(1+INFL_LABOR)</f>
        <v>1966908.6</v>
      </c>
      <c r="G12" s="20" t="n">
        <f aca="false">F12*(1+INFL_LABOR)</f>
        <v>2025915.858</v>
      </c>
    </row>
    <row r="13" customFormat="false" ht="15" hidden="false" customHeight="false" outlineLevel="0" collapsed="false">
      <c r="A13" s="16" t="s">
        <v>110</v>
      </c>
      <c r="B13" s="19" t="n">
        <v>0</v>
      </c>
      <c r="C13" s="19" t="n">
        <v>0</v>
      </c>
      <c r="D13" s="20" t="n">
        <f aca="false">B10*0.15</f>
        <v>180000</v>
      </c>
      <c r="E13" s="20" t="n">
        <f aca="false">D13*(1+INFL_LICENSE)</f>
        <v>183600</v>
      </c>
      <c r="F13" s="20" t="n">
        <f aca="false">E13*(1+INFL_LICENSE)</f>
        <v>187272</v>
      </c>
      <c r="G13" s="20" t="n">
        <f aca="false">F13*(1+INFL_LICENSE)</f>
        <v>191017.44</v>
      </c>
    </row>
    <row r="14" customFormat="false" ht="15" hidden="false" customHeight="false" outlineLevel="0" collapsed="false">
      <c r="A14" s="21" t="s">
        <v>92</v>
      </c>
      <c r="B14" s="22" t="n">
        <f aca="false">SUM(B5:B13)</f>
        <v>6550000</v>
      </c>
      <c r="C14" s="22" t="n">
        <f aca="false">SUM(C5:C13)</f>
        <v>1662500</v>
      </c>
      <c r="D14" s="22" t="n">
        <f aca="false">SUM(D5:D13)</f>
        <v>2811750</v>
      </c>
      <c r="E14" s="22" t="n">
        <f aca="false">SUM(E5:E13)</f>
        <v>2886525</v>
      </c>
      <c r="F14" s="22" t="n">
        <f aca="false">SUM(F5:F13)</f>
        <v>2963351.7</v>
      </c>
      <c r="G14" s="22" t="n">
        <f aca="false">SUM(G5:G13)</f>
        <v>3042287.82</v>
      </c>
    </row>
    <row r="15" customFormat="false" ht="15" hidden="false" customHeight="false" outlineLevel="0" collapsed="false">
      <c r="A15" s="6" t="s">
        <v>93</v>
      </c>
      <c r="B15" s="23" t="n">
        <f aca="false">B14</f>
        <v>6550000</v>
      </c>
      <c r="C15" s="23" t="n">
        <f aca="false">B15+C14</f>
        <v>8212500</v>
      </c>
      <c r="D15" s="23" t="n">
        <f aca="false">C15+D14</f>
        <v>11024250</v>
      </c>
      <c r="E15" s="23" t="n">
        <f aca="false">D15+E14</f>
        <v>13910775</v>
      </c>
      <c r="F15" s="23" t="n">
        <f aca="false">E15+F14</f>
        <v>16874126.7</v>
      </c>
      <c r="G15" s="23" t="n">
        <f aca="false">F15+G14</f>
        <v>19916414.52</v>
      </c>
    </row>
    <row r="17" customFormat="false" ht="15" hidden="false" customHeight="false" outlineLevel="0" collapsed="false">
      <c r="A17" s="11" t="s">
        <v>94</v>
      </c>
      <c r="B17" s="28" t="n">
        <f aca="false">B14+C14+D14+E14</f>
        <v>13910775</v>
      </c>
    </row>
    <row r="18" customFormat="false" ht="15" hidden="false" customHeight="false" outlineLevel="0" collapsed="false">
      <c r="A18" s="11" t="s">
        <v>95</v>
      </c>
      <c r="B18" s="28" t="n">
        <f aca="false">SUM(B14:G14)</f>
        <v>19916414.52</v>
      </c>
    </row>
    <row r="19" customFormat="false" ht="15" hidden="false" customHeight="false" outlineLevel="0" collapsed="false">
      <c r="A19" s="16" t="s">
        <v>96</v>
      </c>
      <c r="B19" s="26" t="n">
        <f aca="false">B18/SEATS/_YR5</f>
        <v>8851.73978666667</v>
      </c>
    </row>
    <row r="22" customFormat="false" ht="15" hidden="false" customHeight="false" outlineLevel="0" collapsed="false">
      <c r="A22" s="29" t="s">
        <v>126</v>
      </c>
    </row>
    <row r="23" customFormat="false" ht="15" hidden="false" customHeight="true" outlineLevel="0" collapsed="false">
      <c r="A23" s="10" t="s">
        <v>127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 t="s">
        <v>128</v>
      </c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 t="s">
        <v>129</v>
      </c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 t="s">
        <v>130</v>
      </c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 t="s">
        <v>131</v>
      </c>
      <c r="B27" s="10"/>
      <c r="C27" s="10"/>
      <c r="D27" s="10"/>
      <c r="E27" s="10"/>
      <c r="F27" s="10"/>
      <c r="G27" s="10"/>
      <c r="H27" s="10"/>
    </row>
  </sheetData>
  <mergeCells count="7">
    <mergeCell ref="A1:H1"/>
    <mergeCell ref="A2:H2"/>
    <mergeCell ref="A23:H23"/>
    <mergeCell ref="A24:H24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22.35" hidden="false" customHeight="false" outlineLevel="0" collapsed="false">
      <c r="A1" s="30" t="s">
        <v>132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">
        <v>133</v>
      </c>
      <c r="B2" s="31"/>
      <c r="C2" s="31"/>
      <c r="D2" s="31"/>
      <c r="E2" s="31"/>
      <c r="F2" s="31"/>
      <c r="G2" s="31"/>
      <c r="H2" s="31"/>
    </row>
    <row r="4" customFormat="false" ht="15" hidden="false" customHeight="false" outlineLevel="0" collapsed="false">
      <c r="A4" s="32" t="s">
        <v>134</v>
      </c>
      <c r="B4" s="18" t="s">
        <v>135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  <c r="H4" s="18" t="s">
        <v>136</v>
      </c>
    </row>
    <row r="5" customFormat="false" ht="15" hidden="false" customHeight="false" outlineLevel="0" collapsed="false">
      <c r="A5" s="33" t="s">
        <v>137</v>
      </c>
      <c r="B5" s="34" t="n">
        <f aca="false">'A.續用Genesys'!B10</f>
        <v>8125000</v>
      </c>
      <c r="C5" s="34" t="n">
        <f aca="false">'A.續用Genesys'!C10</f>
        <v>45905000</v>
      </c>
      <c r="D5" s="34" t="n">
        <f aca="false">'A.續用Genesys'!D10</f>
        <v>28736100</v>
      </c>
      <c r="E5" s="34" t="n">
        <f aca="false">'A.續用Genesys'!E10</f>
        <v>29403300</v>
      </c>
      <c r="F5" s="34" t="n">
        <f aca="false">'A.續用Genesys'!F10</f>
        <v>30118674</v>
      </c>
      <c r="G5" s="34" t="n">
        <f aca="false">'A.續用Genesys'!G10</f>
        <v>30852174.72</v>
      </c>
      <c r="H5" s="35" t="n">
        <f aca="false">SUM(B5:G5)</f>
        <v>173140248.72</v>
      </c>
    </row>
    <row r="6" customFormat="false" ht="15" hidden="false" customHeight="false" outlineLevel="0" collapsed="false">
      <c r="A6" s="36" t="s">
        <v>138</v>
      </c>
      <c r="B6" s="34" t="n">
        <f aca="false">'B.自建'!B12</f>
        <v>2000000</v>
      </c>
      <c r="C6" s="34" t="n">
        <f aca="false">'B.自建'!C12</f>
        <v>8354200</v>
      </c>
      <c r="D6" s="34" t="n">
        <f aca="false">'B.自建'!D12</f>
        <v>14733864</v>
      </c>
      <c r="E6" s="34" t="n">
        <f aca="false">'B.自建'!E12</f>
        <v>5614140</v>
      </c>
      <c r="F6" s="34" t="n">
        <f aca="false">'B.自建'!F12</f>
        <v>5775862.8</v>
      </c>
      <c r="G6" s="34" t="n">
        <f aca="false">'B.自建'!G12</f>
        <v>5942303.256</v>
      </c>
      <c r="H6" s="35" t="n">
        <f aca="false">SUM(B6:G6)</f>
        <v>42420370.056</v>
      </c>
    </row>
    <row r="7" customFormat="false" ht="15" hidden="false" customHeight="false" outlineLevel="0" collapsed="false">
      <c r="A7" s="37" t="s">
        <v>139</v>
      </c>
      <c r="B7" s="34" t="n">
        <f aca="false">'C.VOXEN+3CX'!B14</f>
        <v>6550000</v>
      </c>
      <c r="C7" s="34" t="n">
        <f aca="false">'C.VOXEN+3CX'!C14</f>
        <v>1662500</v>
      </c>
      <c r="D7" s="34" t="n">
        <f aca="false">'C.VOXEN+3CX'!D14</f>
        <v>2811750</v>
      </c>
      <c r="E7" s="34" t="n">
        <f aca="false">'C.VOXEN+3CX'!E14</f>
        <v>2886525</v>
      </c>
      <c r="F7" s="34" t="n">
        <f aca="false">'C.VOXEN+3CX'!F14</f>
        <v>2963351.7</v>
      </c>
      <c r="G7" s="34" t="n">
        <f aca="false">'C.VOXEN+3CX'!G14</f>
        <v>3042287.82</v>
      </c>
      <c r="H7" s="35" t="n">
        <f aca="false">SUM(B7:G7)</f>
        <v>19916414.52</v>
      </c>
    </row>
    <row r="9" customFormat="false" ht="15" hidden="false" customHeight="false" outlineLevel="0" collapsed="false">
      <c r="A9" s="38" t="s">
        <v>140</v>
      </c>
      <c r="B9" s="39" t="n">
        <f aca="false">B5-B7</f>
        <v>1575000</v>
      </c>
      <c r="C9" s="39" t="n">
        <f aca="false">C5-C7</f>
        <v>44242500</v>
      </c>
      <c r="D9" s="39" t="n">
        <f aca="false">D5-D7</f>
        <v>25924350</v>
      </c>
      <c r="E9" s="39" t="n">
        <f aca="false">E5-E7</f>
        <v>26516775</v>
      </c>
      <c r="F9" s="39" t="n">
        <f aca="false">F5-F7</f>
        <v>27155322.3</v>
      </c>
      <c r="G9" s="39" t="n">
        <f aca="false">G5-G7</f>
        <v>27809886.9</v>
      </c>
      <c r="H9" s="39" t="n">
        <f aca="false">H5-H7</f>
        <v>153223834.2</v>
      </c>
    </row>
    <row r="10" customFormat="false" ht="15" hidden="false" customHeight="false" outlineLevel="0" collapsed="false">
      <c r="A10" s="38" t="s">
        <v>141</v>
      </c>
      <c r="B10" s="39" t="n">
        <f aca="false">B6-B7</f>
        <v>-4550000</v>
      </c>
      <c r="C10" s="39" t="n">
        <f aca="false">C6-C7</f>
        <v>6691700</v>
      </c>
      <c r="D10" s="39" t="n">
        <f aca="false">D6-D7</f>
        <v>11922114</v>
      </c>
      <c r="E10" s="39" t="n">
        <f aca="false">E6-E7</f>
        <v>2727615</v>
      </c>
      <c r="F10" s="39" t="n">
        <f aca="false">F6-F7</f>
        <v>2812511.1</v>
      </c>
      <c r="G10" s="39" t="n">
        <f aca="false">G6-G7</f>
        <v>2900015.436</v>
      </c>
      <c r="H10" s="39" t="n">
        <f aca="false">H6-H7</f>
        <v>22503955.536</v>
      </c>
    </row>
    <row r="13" customFormat="false" ht="17.35" hidden="false" customHeight="false" outlineLevel="0" collapsed="false">
      <c r="A13" s="40" t="s">
        <v>142</v>
      </c>
      <c r="B13" s="40"/>
      <c r="C13" s="40"/>
      <c r="D13" s="40"/>
      <c r="E13" s="40"/>
      <c r="F13" s="40"/>
      <c r="G13" s="40"/>
      <c r="H13" s="40"/>
    </row>
    <row r="14" customFormat="false" ht="12.65" hidden="false" customHeight="false" outlineLevel="0" collapsed="false">
      <c r="A14" s="41" t="s">
        <v>143</v>
      </c>
      <c r="B14" s="41"/>
      <c r="C14" s="41"/>
      <c r="D14" s="41"/>
      <c r="E14" s="41"/>
      <c r="F14" s="41"/>
      <c r="G14" s="41"/>
      <c r="H14" s="41"/>
    </row>
    <row r="15" customFormat="false" ht="12.65" hidden="false" customHeight="false" outlineLevel="0" collapsed="false">
      <c r="A15" s="41" t="s">
        <v>144</v>
      </c>
      <c r="B15" s="41"/>
      <c r="C15" s="41"/>
      <c r="D15" s="41"/>
      <c r="E15" s="41"/>
      <c r="F15" s="41"/>
      <c r="G15" s="41"/>
      <c r="H15" s="41"/>
    </row>
    <row r="16" customFormat="false" ht="12.65" hidden="false" customHeight="false" outlineLevel="0" collapsed="false">
      <c r="A16" s="41" t="s">
        <v>145</v>
      </c>
      <c r="B16" s="41"/>
      <c r="C16" s="41"/>
      <c r="D16" s="41"/>
      <c r="E16" s="41"/>
      <c r="F16" s="41"/>
      <c r="G16" s="41"/>
      <c r="H16" s="41"/>
    </row>
    <row r="17" customFormat="false" ht="12.65" hidden="false" customHeight="false" outlineLevel="0" collapsed="false">
      <c r="A17" s="41" t="s">
        <v>146</v>
      </c>
      <c r="B17" s="41"/>
      <c r="C17" s="41"/>
      <c r="D17" s="41"/>
      <c r="E17" s="41"/>
      <c r="F17" s="41"/>
      <c r="G17" s="41"/>
      <c r="H17" s="41"/>
    </row>
    <row r="18" customFormat="false" ht="15" hidden="false" customHeight="false" outlineLevel="0" collapsed="false">
      <c r="A18" s="41"/>
      <c r="B18" s="41"/>
      <c r="C18" s="41"/>
      <c r="D18" s="41"/>
      <c r="E18" s="41"/>
      <c r="F18" s="41"/>
      <c r="G18" s="41"/>
      <c r="H18" s="41"/>
    </row>
    <row r="19" customFormat="false" ht="12.65" hidden="false" customHeight="false" outlineLevel="0" collapsed="false">
      <c r="A19" s="42" t="s">
        <v>147</v>
      </c>
      <c r="B19" s="42"/>
      <c r="C19" s="42"/>
      <c r="D19" s="42"/>
      <c r="E19" s="42"/>
      <c r="F19" s="42"/>
      <c r="G19" s="42"/>
      <c r="H19" s="42"/>
    </row>
  </sheetData>
  <mergeCells count="9">
    <mergeCell ref="A1:H1"/>
    <mergeCell ref="A2:H2"/>
    <mergeCell ref="A13:H13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7.9" hidden="false" customHeight="false" outlineLevel="0" collapsed="false">
      <c r="A1" s="40" t="s">
        <v>148</v>
      </c>
      <c r="B1" s="40"/>
      <c r="C1" s="40"/>
      <c r="D1" s="40"/>
      <c r="E1" s="40"/>
      <c r="F1" s="40"/>
    </row>
    <row r="2" customFormat="false" ht="15" hidden="false" customHeight="true" outlineLevel="0" collapsed="false">
      <c r="A2" s="9" t="s">
        <v>149</v>
      </c>
      <c r="B2" s="9"/>
      <c r="C2" s="9"/>
      <c r="D2" s="9"/>
      <c r="E2" s="9"/>
      <c r="F2" s="9"/>
    </row>
    <row r="4" customFormat="false" ht="28.35" hidden="false" customHeight="false" outlineLevel="0" collapsed="false">
      <c r="A4" s="32" t="s">
        <v>150</v>
      </c>
      <c r="B4" s="32" t="s">
        <v>151</v>
      </c>
      <c r="C4" s="18" t="s">
        <v>152</v>
      </c>
      <c r="D4" s="32" t="s">
        <v>153</v>
      </c>
      <c r="E4" s="18" t="s">
        <v>154</v>
      </c>
    </row>
    <row r="5" customFormat="false" ht="15" hidden="false" customHeight="false" outlineLevel="0" collapsed="false">
      <c r="A5" s="6" t="s">
        <v>155</v>
      </c>
      <c r="B5" s="43" t="s">
        <v>156</v>
      </c>
      <c r="C5" s="20" t="n">
        <f aca="false">'C.VOXEN+3CX'!B18</f>
        <v>19916414.52</v>
      </c>
      <c r="D5" s="20" t="n">
        <f aca="false">0</f>
        <v>0</v>
      </c>
      <c r="E5" s="44" t="n">
        <f aca="false">0%</f>
        <v>0</v>
      </c>
    </row>
    <row r="6" customFormat="false" ht="15" hidden="false" customHeight="false" outlineLevel="0" collapsed="false">
      <c r="A6" s="16" t="s">
        <v>157</v>
      </c>
      <c r="B6" s="45" t="s">
        <v>158</v>
      </c>
      <c r="C6" s="20" t="n">
        <f aca="false">'C.VOXEN+3CX'!B18*1.15</f>
        <v>22903876.698</v>
      </c>
      <c r="D6" s="20" t="n">
        <f aca="false">C6-C5</f>
        <v>2987462.178</v>
      </c>
      <c r="E6" s="44" t="n">
        <f aca="false">(C6-C5)/C5</f>
        <v>0.15</v>
      </c>
    </row>
    <row r="7" customFormat="false" ht="15" hidden="false" customHeight="false" outlineLevel="0" collapsed="false">
      <c r="A7" s="16" t="s">
        <v>159</v>
      </c>
      <c r="B7" s="45" t="s">
        <v>160</v>
      </c>
      <c r="C7" s="20" t="n">
        <f aca="false">'C.VOXEN+3CX'!B18*0.85</f>
        <v>16928952.342</v>
      </c>
      <c r="D7" s="20" t="n">
        <f aca="false">C7-C5</f>
        <v>-2987462.178</v>
      </c>
      <c r="E7" s="44" t="n">
        <f aca="false">(C7-C5)/C5</f>
        <v>-0.15</v>
      </c>
    </row>
    <row r="8" customFormat="false" ht="15" hidden="false" customHeight="false" outlineLevel="0" collapsed="false">
      <c r="A8" s="14" t="s">
        <v>161</v>
      </c>
      <c r="B8" s="45" t="s">
        <v>162</v>
      </c>
      <c r="C8" s="20" t="n">
        <f aca="false">'C.VOXEN+3CX'!B18*1.06</f>
        <v>21111399.3912</v>
      </c>
      <c r="D8" s="20" t="n">
        <f aca="false">C8-C5</f>
        <v>1194984.8712</v>
      </c>
      <c r="E8" s="44" t="n">
        <f aca="false">(C8-C5)/C5</f>
        <v>0.0600000000000001</v>
      </c>
    </row>
    <row r="9" customFormat="false" ht="15" hidden="false" customHeight="false" outlineLevel="0" collapsed="false">
      <c r="A9" s="16" t="s">
        <v>163</v>
      </c>
      <c r="B9" s="45" t="s">
        <v>164</v>
      </c>
      <c r="C9" s="20" t="n">
        <f aca="false">'C.VOXEN+3CX'!B18*1.08</f>
        <v>21509727.6816</v>
      </c>
      <c r="D9" s="20" t="n">
        <f aca="false">C9-C5</f>
        <v>1593313.1616</v>
      </c>
      <c r="E9" s="44" t="n">
        <f aca="false">(C9-C5)/C5</f>
        <v>0.0800000000000001</v>
      </c>
    </row>
    <row r="10" customFormat="false" ht="15" hidden="false" customHeight="false" outlineLevel="0" collapsed="false">
      <c r="A10" s="14" t="s">
        <v>165</v>
      </c>
      <c r="B10" s="45" t="s">
        <v>166</v>
      </c>
      <c r="C10" s="20" t="n">
        <f aca="false">'C.VOXEN+3CX'!B18+1000000</f>
        <v>20916414.52</v>
      </c>
      <c r="D10" s="20" t="n">
        <f aca="false">C10-C5</f>
        <v>1000000</v>
      </c>
      <c r="E10" s="44" t="n">
        <f aca="false">(C10-C5)/C5</f>
        <v>0.0502098406817052</v>
      </c>
    </row>
    <row r="11" customFormat="false" ht="15" hidden="false" customHeight="false" outlineLevel="0" collapsed="false">
      <c r="A11" s="16" t="s">
        <v>167</v>
      </c>
      <c r="B11" s="43" t="s">
        <v>168</v>
      </c>
      <c r="C11" s="20" t="n">
        <f aca="false">'C.VOXEN+3CX'!B17+1500000</f>
        <v>15410775</v>
      </c>
      <c r="D11" s="20" t="n">
        <f aca="false">C11-C5</f>
        <v>-4505639.52</v>
      </c>
      <c r="E11" s="44" t="n">
        <f aca="false">(C11-C5)/C5</f>
        <v>-0.226227442468395</v>
      </c>
    </row>
    <row r="15" customFormat="false" ht="15" hidden="false" customHeight="true" outlineLevel="0" collapsed="false">
      <c r="A15" s="9" t="s">
        <v>169</v>
      </c>
      <c r="B15" s="9"/>
      <c r="C15" s="9"/>
      <c r="D15" s="9"/>
      <c r="E15" s="9"/>
    </row>
  </sheetData>
  <mergeCells count="3">
    <mergeCell ref="A1:F1"/>
    <mergeCell ref="A2:F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2026-04-26T05:12:37Z</dcterms:created>
  <dc:creator>openpyxl</dc:creator>
  <dc:description/>
  <dc:language>en-US</dc:language>
  <cp:lastModifiedBy/>
  <dcterms:modified xsi:type="dcterms:W3CDTF">2026-04-26T13:12:39Z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